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verviews by category" sheetId="2" state="visible" r:id="rId2"/>
    <sheet name="Category Analysis" sheetId="3" state="visible" r:id="rId3"/>
    <sheet name="Subcategory Analysis" sheetId="4" state="visible" r:id="rId4"/>
    <sheet name="Transactions" sheetId="5" state="visible" r:id="rId5"/>
    <sheet name="Top Payees" sheetId="6" state="visible" r:id="rId6"/>
  </sheets>
  <definedNames>
    <definedName name="_xlnm._FilterDatabase" localSheetId="4" hidden="1">'Transactions'!$A$1:$N$104</definedName>
    <definedName name="_xlnm._FilterDatabase" localSheetId="5" hidden="1">'Top Payees'!$A$1:$H$56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7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sz val="14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4" fontId="0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  <xf numFmtId="0" fontId="4" fillId="2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Income vs. Expenses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'Summary'!F6</f>
            </strRef>
          </tx>
          <spPr>
            <a:solidFill>
              <a:srgbClr val="2E7D32"/>
            </a:solidFill>
            <a:ln>
              <a:prstDash val="solid"/>
            </a:ln>
          </spPr>
          <cat>
            <numRef>
              <f>'Summary'!$H$7:$H$8</f>
            </numRef>
          </cat>
          <val>
            <numRef>
              <f>'Summary'!$F$7:$F$8</f>
            </numRef>
          </val>
        </ser>
        <ser>
          <idx val="1"/>
          <order val="1"/>
          <tx>
            <strRef>
              <f>'Summary'!G6</f>
            </strRef>
          </tx>
          <spPr>
            <a:solidFill>
              <a:srgbClr val="A5D6A7"/>
            </a:solidFill>
            <a:ln>
              <a:prstDash val="solid"/>
            </a:ln>
          </spPr>
          <cat>
            <numRef>
              <f>'Summary'!$H$7:$H$8</f>
            </numRef>
          </cat>
          <val>
            <numRef>
              <f>'Summary'!$G$7:$G$8</f>
            </numRef>
          </val>
        </ser>
        <ser>
          <idx val="2"/>
          <order val="2"/>
          <tx>
            <strRef>
              <f>'Summary'!H6</f>
            </strRef>
          </tx>
          <spPr>
            <a:solidFill>
              <a:srgbClr val="C62828"/>
            </a:solidFill>
            <a:ln>
              <a:prstDash val="solid"/>
            </a:ln>
          </spPr>
          <cat>
            <numRef>
              <f>'Summary'!$H$7:$H$8</f>
            </numRef>
          </cat>
          <val>
            <numRef>
              <f>'Summary'!$H$7:$H$8</f>
            </numRef>
          </val>
        </ser>
        <ser>
          <idx val="3"/>
          <order val="3"/>
          <tx>
            <strRef>
              <f>'Summary'!I6</f>
            </strRef>
          </tx>
          <spPr>
            <a:solidFill>
              <a:srgbClr val="EF9A9A"/>
            </a:solidFill>
            <a:ln>
              <a:prstDash val="solid"/>
            </a:ln>
          </spPr>
          <cat>
            <numRef>
              <f>'Summary'!$H$7:$H$8</f>
            </numRef>
          </cat>
          <val>
            <numRef>
              <f>'Summary'!$I$7:$I$8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(CHF)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Income by Category</a:t>
            </a:r>
          </a:p>
        </rich>
      </tx>
    </title>
    <plotArea>
      <pieChart>
        <varyColors val="1"/>
        <ser>
          <idx val="0"/>
          <order val="0"/>
          <tx>
            <strRef>
              <f>'Overviews by category'!B7</f>
            </strRef>
          </tx>
          <spPr>
            <a:ln>
              <a:prstDash val="solid"/>
            </a:ln>
          </spPr>
          <cat>
            <numRef>
              <f>'Overviews by category'!$A$8</f>
            </numRef>
          </cat>
          <val>
            <numRef>
              <f>'Overviews by category'!$B$8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'Overviews by category'!B29</f>
            </strRef>
          </tx>
          <spPr>
            <a:ln>
              <a:prstDash val="solid"/>
            </a:ln>
          </spPr>
          <cat>
            <numRef>
              <f>'Overviews by category'!$A$30:$A$35</f>
            </numRef>
          </cat>
          <val>
            <numRef>
              <f>'Overviews by category'!$B$30:$B$35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Refunds by Category</a:t>
            </a:r>
          </a:p>
        </rich>
      </tx>
    </title>
    <plotArea>
      <pieChart>
        <varyColors val="1"/>
        <ser>
          <idx val="0"/>
          <order val="0"/>
          <tx>
            <strRef>
              <f>'Overviews by category'!B51</f>
            </strRef>
          </tx>
          <spPr>
            <a:ln>
              <a:prstDash val="solid"/>
            </a:ln>
          </spPr>
          <cat>
            <numRef>
              <f>'Overviews by category'!$A$52:$A$55</f>
            </numRef>
          </cat>
          <val>
            <numRef>
              <f>'Overviews by category'!$B$52:$B$55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28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50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1" t="inlineStr">
        <is>
          <t>Budget Analysis Summary</t>
        </is>
      </c>
    </row>
    <row r="2">
      <c r="A2" s="2" t="inlineStr">
        <is>
          <t>Source: data/example (4 categorized file(s))</t>
        </is>
      </c>
    </row>
    <row r="5">
      <c r="A5" s="3" t="inlineStr">
        <is>
          <t>Overall Summary</t>
        </is>
      </c>
    </row>
    <row r="6">
      <c r="E6" t="inlineStr">
        <is>
          <t>Flow</t>
        </is>
      </c>
      <c r="F6" t="inlineStr">
        <is>
          <t>income</t>
        </is>
      </c>
      <c r="G6" t="inlineStr">
        <is>
          <t>refund (credit)</t>
        </is>
      </c>
      <c r="H6" t="inlineStr">
        <is>
          <t>expenses</t>
        </is>
      </c>
      <c r="I6" t="inlineStr">
        <is>
          <t>refund (debit)</t>
        </is>
      </c>
    </row>
    <row r="7">
      <c r="A7" s="4" t="inlineStr">
        <is>
          <t>Transaction Category</t>
        </is>
      </c>
      <c r="B7" s="4" t="inlineStr">
        <is>
          <t>Credit (CHF)</t>
        </is>
      </c>
      <c r="C7" s="4" t="inlineStr">
        <is>
          <t>Debit (CHF)</t>
        </is>
      </c>
      <c r="E7" t="inlineStr">
        <is>
          <t>Income</t>
        </is>
      </c>
      <c r="F7" s="5" t="n">
        <v>23500</v>
      </c>
      <c r="G7" s="5" t="n">
        <v>2394.75</v>
      </c>
      <c r="H7" s="5" t="n">
        <v>0</v>
      </c>
      <c r="I7" s="5" t="n">
        <v>0</v>
      </c>
    </row>
    <row r="8">
      <c r="A8" t="inlineStr">
        <is>
          <t>Income</t>
        </is>
      </c>
      <c r="B8" s="5" t="n">
        <v>23500</v>
      </c>
      <c r="C8" s="5" t="n">
        <v>0</v>
      </c>
      <c r="E8" t="inlineStr">
        <is>
          <t>Expenses</t>
        </is>
      </c>
      <c r="F8" s="5" t="n">
        <v>0</v>
      </c>
      <c r="G8" s="5" t="n">
        <v>0</v>
      </c>
      <c r="H8" s="5" t="n">
        <v>9674.959999999999</v>
      </c>
      <c r="I8" s="5" t="n">
        <v>0</v>
      </c>
    </row>
    <row r="9">
      <c r="A9" t="inlineStr">
        <is>
          <t>Expense</t>
        </is>
      </c>
      <c r="B9" s="5" t="n">
        <v>0</v>
      </c>
      <c r="C9" s="5" t="n">
        <v>9674.959999999999</v>
      </c>
    </row>
    <row r="10">
      <c r="A10" t="inlineStr">
        <is>
          <t>Refund</t>
        </is>
      </c>
      <c r="B10" s="5" t="n">
        <v>2394.75</v>
      </c>
      <c r="C10" s="5" t="n">
        <v>0</v>
      </c>
    </row>
    <row r="11">
      <c r="A11" s="6" t="inlineStr">
        <is>
          <t>Total</t>
        </is>
      </c>
      <c r="B11" s="7" t="n">
        <v>25894.75</v>
      </c>
      <c r="C11" s="7" t="n">
        <v>9674.959999999999</v>
      </c>
    </row>
    <row r="13">
      <c r="A13" t="inlineStr">
        <is>
          <t>Transfer</t>
        </is>
      </c>
      <c r="B13" s="5" t="n">
        <v>450</v>
      </c>
      <c r="C13" s="5" t="n">
        <v>800</v>
      </c>
    </row>
    <row r="15">
      <c r="A15" s="6" t="inlineStr">
        <is>
          <t>Grand Total</t>
        </is>
      </c>
      <c r="B15" s="7" t="n">
        <v>26344.75</v>
      </c>
      <c r="C15" s="7" t="n">
        <v>10474.96</v>
      </c>
    </row>
    <row r="17">
      <c r="A17" s="8" t="inlineStr">
        <is>
          <t>Check (Transactions)</t>
        </is>
      </c>
      <c r="B17" s="9">
        <f>SUMIFS(Transactions!$J$2:$J$104, Transactions!$D$2:$D$104, "Income") + SUMIFS(Transactions!$J$2:$J$104, Transactions!$D$2:$D$104, "Expense") + SUMIFS(Transactions!$J$2:$J$104, Transactions!$D$2:$D$104, "Refund") + SUMIFS(Transactions!$J$2:$J$104, Transactions!$D$2:$D$104, "Transfer")</f>
        <v/>
      </c>
      <c r="C17" s="9">
        <f>SUMIFS(Transactions!$K$2:$K$104, Transactions!$D$2:$D$104, "Income") + SUMIFS(Transactions!$K$2:$K$104, Transactions!$D$2:$D$104, "Expense") + SUMIFS(Transactions!$K$2:$K$104, Transactions!$D$2:$D$104, "Refund") + SUMIFS(Transactions!$K$2:$K$104, Transactions!$D$2:$D$104, "Transfer")</f>
        <v/>
      </c>
    </row>
    <row r="18">
      <c r="A18" s="8" t="inlineStr">
        <is>
          <t>Difference</t>
        </is>
      </c>
      <c r="B18" s="9">
        <f>B17-B15</f>
        <v/>
      </c>
      <c r="C18" s="9">
        <f>C17-C15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Budget Analysis by Category</t>
        </is>
      </c>
    </row>
    <row r="2">
      <c r="A2" s="2" t="inlineStr">
        <is>
          <t>Source: data/example (4 categorized file(s))</t>
        </is>
      </c>
    </row>
    <row r="5">
      <c r="A5" s="3" t="inlineStr">
        <is>
          <t>Income by Category</t>
        </is>
      </c>
    </row>
    <row r="7">
      <c r="A7" s="10" t="inlineStr">
        <is>
          <t>Category</t>
        </is>
      </c>
      <c r="B7" s="10" t="inlineStr">
        <is>
          <t>Amount (CHF)</t>
        </is>
      </c>
    </row>
    <row r="8">
      <c r="A8" t="inlineStr">
        <is>
          <t>Einkommen</t>
        </is>
      </c>
      <c r="B8" s="5" t="n">
        <v>23500</v>
      </c>
    </row>
    <row r="9">
      <c r="A9" s="6" t="inlineStr">
        <is>
          <t>Total</t>
        </is>
      </c>
      <c r="B9" s="7" t="n">
        <v>23500</v>
      </c>
    </row>
    <row r="10">
      <c r="A10" s="8" t="inlineStr">
        <is>
          <t>Check (Transactions)</t>
        </is>
      </c>
      <c r="B10" s="9">
        <f>SUMIFS(Transactions!$J$2:$J$104, Transactions!$D$2:$D$104, "Income") - SUMIFS(Transactions!$K$2:$K$104, Transactions!$D$2:$D$104, "Income")</f>
        <v/>
      </c>
    </row>
    <row r="11">
      <c r="A11" s="8" t="inlineStr">
        <is>
          <t>Difference</t>
        </is>
      </c>
      <c r="B11" s="9">
        <f>B10-B9</f>
        <v/>
      </c>
    </row>
    <row r="27">
      <c r="A27" s="3" t="inlineStr">
        <is>
          <t>Expenses by Category</t>
        </is>
      </c>
    </row>
    <row r="29">
      <c r="A29" s="10" t="inlineStr">
        <is>
          <t>Category</t>
        </is>
      </c>
      <c r="B29" s="10" t="inlineStr">
        <is>
          <t>Amount (CHF)</t>
        </is>
      </c>
    </row>
    <row r="30">
      <c r="A30" t="inlineStr">
        <is>
          <t>Wohnen</t>
        </is>
      </c>
      <c r="B30" s="5" t="n">
        <v>7265.12</v>
      </c>
    </row>
    <row r="31">
      <c r="A31" t="inlineStr">
        <is>
          <t>Einkaufen</t>
        </is>
      </c>
      <c r="B31" s="5" t="n">
        <v>1482.19</v>
      </c>
    </row>
    <row r="32">
      <c r="A32" t="inlineStr">
        <is>
          <t>Leben</t>
        </is>
      </c>
      <c r="B32" s="5" t="n">
        <v>437.55</v>
      </c>
    </row>
    <row r="33">
      <c r="A33" t="inlineStr">
        <is>
          <t>Freizeit</t>
        </is>
      </c>
      <c r="B33" s="5" t="n">
        <v>193</v>
      </c>
    </row>
    <row r="34">
      <c r="A34" t="inlineStr">
        <is>
          <t>Finanzen</t>
        </is>
      </c>
      <c r="B34" s="5" t="n">
        <v>173.5</v>
      </c>
    </row>
    <row r="35">
      <c r="A35" t="inlineStr">
        <is>
          <t>Mobilität</t>
        </is>
      </c>
      <c r="B35" s="5" t="n">
        <v>123.6</v>
      </c>
    </row>
    <row r="36">
      <c r="A36" s="6" t="inlineStr">
        <is>
          <t>Total</t>
        </is>
      </c>
      <c r="B36" s="7" t="n">
        <v>9674.959999999999</v>
      </c>
    </row>
    <row r="37">
      <c r="A37" s="8" t="inlineStr">
        <is>
          <t>Check (Transactions)</t>
        </is>
      </c>
      <c r="B37" s="9">
        <f>SUMIFS(Transactions!$K$2:$K$104, Transactions!$D$2:$D$104, "Expense") - SUMIFS(Transactions!$J$2:$J$104, Transactions!$D$2:$D$104, "Expense")</f>
        <v/>
      </c>
    </row>
    <row r="38">
      <c r="A38" s="8" t="inlineStr">
        <is>
          <t>Difference</t>
        </is>
      </c>
      <c r="B38" s="9">
        <f>B37-B36</f>
        <v/>
      </c>
    </row>
    <row r="49">
      <c r="A49" s="3" t="inlineStr">
        <is>
          <t>Refunds by Category</t>
        </is>
      </c>
    </row>
    <row r="51">
      <c r="A51" s="10" t="inlineStr">
        <is>
          <t>Category</t>
        </is>
      </c>
      <c r="B51" s="10" t="inlineStr">
        <is>
          <t>Amount (CHF)</t>
        </is>
      </c>
    </row>
    <row r="52">
      <c r="A52" t="inlineStr">
        <is>
          <t>Leben</t>
        </is>
      </c>
      <c r="B52" s="5" t="n">
        <v>1922.95</v>
      </c>
    </row>
    <row r="53">
      <c r="A53" t="inlineStr">
        <is>
          <t>Freizeit</t>
        </is>
      </c>
      <c r="B53" s="5" t="n">
        <v>280</v>
      </c>
    </row>
    <row r="54">
      <c r="A54" t="inlineStr">
        <is>
          <t>Mobilität</t>
        </is>
      </c>
      <c r="B54" s="5" t="n">
        <v>190.8</v>
      </c>
    </row>
    <row r="55">
      <c r="A55" t="inlineStr">
        <is>
          <t>Rückerstattungen</t>
        </is>
      </c>
      <c r="B55" s="5" t="n">
        <v>1</v>
      </c>
    </row>
    <row r="56">
      <c r="A56" s="6" t="inlineStr">
        <is>
          <t>Total</t>
        </is>
      </c>
      <c r="B56" s="7" t="n">
        <v>2394.75</v>
      </c>
    </row>
    <row r="57">
      <c r="A57" s="8" t="inlineStr">
        <is>
          <t>Check (Transactions)</t>
        </is>
      </c>
      <c r="B57" s="9">
        <f>SUMIFS(Transactions!$J$2:$J$104, Transactions!$D$2:$D$104, "Refund") - SUMIFS(Transactions!$K$2:$K$104, Transactions!$D$2:$D$104, "Refund")</f>
        <v/>
      </c>
    </row>
    <row r="58">
      <c r="A58" s="8" t="inlineStr">
        <is>
          <t>Difference</t>
        </is>
      </c>
      <c r="B58" s="9">
        <f>B57-B56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Category Analysis</t>
        </is>
      </c>
    </row>
    <row r="2">
      <c r="A2" s="2" t="inlineStr">
        <is>
          <t>Note: Transactions with Transaction Category 'transfer' are excluded.</t>
        </is>
      </c>
    </row>
    <row r="5">
      <c r="A5" s="3" t="inlineStr">
        <is>
          <t>January 2025</t>
        </is>
      </c>
    </row>
    <row r="7">
      <c r="A7" s="4" t="inlineStr">
        <is>
          <t>Category</t>
        </is>
      </c>
      <c r="B7" s="4" t="inlineStr">
        <is>
          <t>Credit in CHF</t>
        </is>
      </c>
      <c r="C7" s="4" t="inlineStr">
        <is>
          <t>Debit in CHF</t>
        </is>
      </c>
      <c r="D7" s="4" t="inlineStr">
        <is>
          <t>Net in CHF</t>
        </is>
      </c>
    </row>
    <row r="8">
      <c r="A8" t="inlineStr">
        <is>
          <t>Einkommen</t>
        </is>
      </c>
      <c r="B8" s="5" t="n">
        <v>4200</v>
      </c>
      <c r="C8" s="5" t="n">
        <v>0</v>
      </c>
      <c r="D8" s="5" t="n">
        <v>4200</v>
      </c>
    </row>
    <row r="9">
      <c r="A9" t="inlineStr">
        <is>
          <t>Wohnen</t>
        </is>
      </c>
      <c r="B9" s="5" t="n">
        <v>0</v>
      </c>
      <c r="C9" s="5" t="n">
        <v>1819.1</v>
      </c>
      <c r="D9" s="5" t="n">
        <v>-1819.1</v>
      </c>
    </row>
    <row r="10">
      <c r="A10" t="inlineStr">
        <is>
          <t>Einkaufen</t>
        </is>
      </c>
      <c r="B10" s="5" t="n">
        <v>0</v>
      </c>
      <c r="C10" s="5" t="n">
        <v>333.05</v>
      </c>
      <c r="D10" s="5" t="n">
        <v>-333.05</v>
      </c>
    </row>
    <row r="11">
      <c r="A11" t="inlineStr">
        <is>
          <t>Mobilität</t>
        </is>
      </c>
      <c r="B11" s="5" t="n">
        <v>0</v>
      </c>
      <c r="C11" s="5" t="n">
        <v>26.7</v>
      </c>
      <c r="D11" s="5" t="n">
        <v>-26.7</v>
      </c>
    </row>
    <row r="12">
      <c r="A12" t="inlineStr">
        <is>
          <t>Freizeit</t>
        </is>
      </c>
      <c r="B12" s="5" t="n">
        <v>0</v>
      </c>
      <c r="C12" s="5" t="n">
        <v>24.5</v>
      </c>
      <c r="D12" s="5" t="n">
        <v>-24.5</v>
      </c>
    </row>
    <row r="13">
      <c r="A13" t="inlineStr">
        <is>
          <t>Leben</t>
        </is>
      </c>
      <c r="B13" s="5" t="n">
        <v>0</v>
      </c>
      <c r="C13" s="5" t="n">
        <v>19</v>
      </c>
      <c r="D13" s="5" t="n">
        <v>-19</v>
      </c>
    </row>
    <row r="14">
      <c r="A14" t="inlineStr">
        <is>
          <t>Rückerstattungen</t>
        </is>
      </c>
      <c r="B14" s="5" t="n">
        <v>1</v>
      </c>
      <c r="C14" s="5" t="n">
        <v>0</v>
      </c>
      <c r="D14" s="5" t="n">
        <v>1</v>
      </c>
    </row>
    <row r="15">
      <c r="A15" s="6" t="inlineStr">
        <is>
          <t>Total</t>
        </is>
      </c>
      <c r="B15" s="7" t="n">
        <v>4201</v>
      </c>
      <c r="C15" s="7" t="n">
        <v>2222.35</v>
      </c>
      <c r="D15" s="7" t="n">
        <v>1978.65</v>
      </c>
    </row>
    <row r="16">
      <c r="A16" s="8" t="inlineStr">
        <is>
          <t>Check (Transactions)</t>
        </is>
      </c>
      <c r="B16" s="9">
        <f>SUMIFS(Transactions!$J$2:$J$104, Transactions!$C$2:$C$104, "2025-01", Transactions!$D$2:$D$104, "&lt;&gt;Transfer")</f>
        <v/>
      </c>
      <c r="C16" s="9">
        <f>SUMIFS(Transactions!$K$2:$K$104, Transactions!$C$2:$C$104, "2025-01", Transactions!$D$2:$D$104, "&lt;&gt;Transfer")</f>
        <v/>
      </c>
      <c r="D16" s="9">
        <f>SUMIFS(Transactions!$J$2:$J$104, Transactions!$C$2:$C$104, "2025-01", Transactions!$D$2:$D$104, "&lt;&gt;Transfer") - SUMIFS(Transactions!$K$2:$K$104, Transactions!$C$2:$C$104, "2025-01", Transactions!$D$2:$D$104, "&lt;&gt;Transfer")</f>
        <v/>
      </c>
    </row>
    <row r="17">
      <c r="A17" s="8" t="inlineStr">
        <is>
          <t>Difference</t>
        </is>
      </c>
      <c r="B17" s="9">
        <f>B16-B15</f>
        <v/>
      </c>
      <c r="C17" s="9">
        <f>C16-C15</f>
        <v/>
      </c>
      <c r="D17" s="9">
        <f>D16-D15</f>
        <v/>
      </c>
    </row>
    <row r="20">
      <c r="A20" s="3" t="inlineStr">
        <is>
          <t>February 2025</t>
        </is>
      </c>
    </row>
    <row r="22">
      <c r="A22" s="4" t="inlineStr">
        <is>
          <t>Category</t>
        </is>
      </c>
      <c r="B22" s="4" t="inlineStr">
        <is>
          <t>Credit in CHF</t>
        </is>
      </c>
      <c r="C22" s="4" t="inlineStr">
        <is>
          <t>Debit in CHF</t>
        </is>
      </c>
      <c r="D22" s="4" t="inlineStr">
        <is>
          <t>Net in CHF</t>
        </is>
      </c>
    </row>
    <row r="23">
      <c r="A23" t="inlineStr">
        <is>
          <t>Einkommen</t>
        </is>
      </c>
      <c r="B23" s="5" t="n">
        <v>4200</v>
      </c>
      <c r="C23" s="5" t="n">
        <v>0</v>
      </c>
      <c r="D23" s="5" t="n">
        <v>4200</v>
      </c>
    </row>
    <row r="24">
      <c r="A24" t="inlineStr">
        <is>
          <t>Wohnen</t>
        </is>
      </c>
      <c r="B24" s="5" t="n">
        <v>0</v>
      </c>
      <c r="C24" s="5" t="n">
        <v>1774</v>
      </c>
      <c r="D24" s="5" t="n">
        <v>-1774</v>
      </c>
    </row>
    <row r="25">
      <c r="A25" t="inlineStr">
        <is>
          <t>Einkaufen</t>
        </is>
      </c>
      <c r="B25" s="5" t="n">
        <v>0</v>
      </c>
      <c r="C25" s="5" t="n">
        <v>434.7</v>
      </c>
      <c r="D25" s="5" t="n">
        <v>-434.7</v>
      </c>
    </row>
    <row r="26">
      <c r="A26" t="inlineStr">
        <is>
          <t>Freizeit</t>
        </is>
      </c>
      <c r="B26" s="5" t="n">
        <v>180</v>
      </c>
      <c r="C26" s="5" t="n">
        <v>3</v>
      </c>
      <c r="D26" s="5" t="n">
        <v>177</v>
      </c>
    </row>
    <row r="27">
      <c r="A27" t="inlineStr">
        <is>
          <t>Mobilität</t>
        </is>
      </c>
      <c r="B27" s="5" t="n">
        <v>48.4</v>
      </c>
      <c r="C27" s="5" t="n">
        <v>0</v>
      </c>
      <c r="D27" s="5" t="n">
        <v>48.4</v>
      </c>
    </row>
    <row r="28">
      <c r="A28" s="6" t="inlineStr">
        <is>
          <t>Total</t>
        </is>
      </c>
      <c r="B28" s="7" t="n">
        <v>4428.4</v>
      </c>
      <c r="C28" s="7" t="n">
        <v>2211.7</v>
      </c>
      <c r="D28" s="7" t="n">
        <v>2216.7</v>
      </c>
    </row>
    <row r="29">
      <c r="A29" s="8" t="inlineStr">
        <is>
          <t>Check (Transactions)</t>
        </is>
      </c>
      <c r="B29" s="9">
        <f>SUMIFS(Transactions!$J$2:$J$104, Transactions!$C$2:$C$104, "2025-02", Transactions!$D$2:$D$104, "&lt;&gt;Transfer")</f>
        <v/>
      </c>
      <c r="C29" s="9">
        <f>SUMIFS(Transactions!$K$2:$K$104, Transactions!$C$2:$C$104, "2025-02", Transactions!$D$2:$D$104, "&lt;&gt;Transfer")</f>
        <v/>
      </c>
      <c r="D29" s="9">
        <f>SUMIFS(Transactions!$J$2:$J$104, Transactions!$C$2:$C$104, "2025-02", Transactions!$D$2:$D$104, "&lt;&gt;Transfer") - SUMIFS(Transactions!$K$2:$K$104, Transactions!$C$2:$C$104, "2025-02", Transactions!$D$2:$D$104, "&lt;&gt;Transfer")</f>
        <v/>
      </c>
    </row>
    <row r="30">
      <c r="A30" s="8" t="inlineStr">
        <is>
          <t>Difference</t>
        </is>
      </c>
      <c r="B30" s="9">
        <f>B29-B28</f>
        <v/>
      </c>
      <c r="C30" s="9">
        <f>C29-C28</f>
        <v/>
      </c>
      <c r="D30" s="9">
        <f>D29-D28</f>
        <v/>
      </c>
    </row>
    <row r="33">
      <c r="A33" s="3" t="inlineStr">
        <is>
          <t>March 2025</t>
        </is>
      </c>
    </row>
    <row r="35">
      <c r="A35" s="4" t="inlineStr">
        <is>
          <t>Category</t>
        </is>
      </c>
      <c r="B35" s="4" t="inlineStr">
        <is>
          <t>Credit in CHF</t>
        </is>
      </c>
      <c r="C35" s="4" t="inlineStr">
        <is>
          <t>Debit in CHF</t>
        </is>
      </c>
      <c r="D35" s="4" t="inlineStr">
        <is>
          <t>Net in CHF</t>
        </is>
      </c>
    </row>
    <row r="36">
      <c r="A36" t="inlineStr">
        <is>
          <t>Einkommen</t>
        </is>
      </c>
      <c r="B36" s="5" t="n">
        <v>5700</v>
      </c>
      <c r="C36" s="5" t="n">
        <v>0</v>
      </c>
      <c r="D36" s="5" t="n">
        <v>5700</v>
      </c>
    </row>
    <row r="37">
      <c r="A37" t="inlineStr">
        <is>
          <t>Leben</t>
        </is>
      </c>
      <c r="B37" s="5" t="n">
        <v>1787.95</v>
      </c>
      <c r="C37" s="5" t="n">
        <v>418.55</v>
      </c>
      <c r="D37" s="5" t="n">
        <v>1369.4</v>
      </c>
    </row>
    <row r="38">
      <c r="A38" t="inlineStr">
        <is>
          <t>Wohnen</t>
        </is>
      </c>
      <c r="B38" s="5" t="n">
        <v>0</v>
      </c>
      <c r="C38" s="5" t="n">
        <v>1898.02</v>
      </c>
      <c r="D38" s="5" t="n">
        <v>-1898.02</v>
      </c>
    </row>
    <row r="39">
      <c r="A39" t="inlineStr">
        <is>
          <t>Einkaufen</t>
        </is>
      </c>
      <c r="B39" s="5" t="n">
        <v>0</v>
      </c>
      <c r="C39" s="5" t="n">
        <v>352.79</v>
      </c>
      <c r="D39" s="5" t="n">
        <v>-352.79</v>
      </c>
    </row>
    <row r="40">
      <c r="A40" t="inlineStr">
        <is>
          <t>Mobilität</t>
        </is>
      </c>
      <c r="B40" s="5" t="n">
        <v>96.90000000000001</v>
      </c>
      <c r="C40" s="5" t="n">
        <v>96.90000000000001</v>
      </c>
      <c r="D40" s="5" t="n">
        <v>0</v>
      </c>
    </row>
    <row r="41">
      <c r="A41" t="inlineStr">
        <is>
          <t>Freizeit</t>
        </is>
      </c>
      <c r="B41" s="5" t="n">
        <v>0</v>
      </c>
      <c r="C41" s="5" t="n">
        <v>165.5</v>
      </c>
      <c r="D41" s="5" t="n">
        <v>-165.5</v>
      </c>
    </row>
    <row r="42">
      <c r="A42" t="inlineStr">
        <is>
          <t>Uncategorized</t>
        </is>
      </c>
      <c r="B42" s="5" t="n">
        <v>0</v>
      </c>
      <c r="C42" s="5" t="n">
        <v>12.4</v>
      </c>
      <c r="D42" s="5" t="n">
        <v>-12.4</v>
      </c>
    </row>
    <row r="43">
      <c r="A43" t="inlineStr">
        <is>
          <t>Finanzen</t>
        </is>
      </c>
      <c r="B43" s="5" t="n">
        <v>0</v>
      </c>
      <c r="C43" s="5" t="n">
        <v>5</v>
      </c>
      <c r="D43" s="5" t="n">
        <v>-5</v>
      </c>
    </row>
    <row r="44">
      <c r="A44" s="6" t="inlineStr">
        <is>
          <t>Total</t>
        </is>
      </c>
      <c r="B44" s="7" t="n">
        <v>7584.85</v>
      </c>
      <c r="C44" s="7" t="n">
        <v>2949.16</v>
      </c>
      <c r="D44" s="7" t="n">
        <v>4635.69</v>
      </c>
    </row>
    <row r="45">
      <c r="A45" s="8" t="inlineStr">
        <is>
          <t>Check (Transactions)</t>
        </is>
      </c>
      <c r="B45" s="9">
        <f>SUMIFS(Transactions!$J$2:$J$104, Transactions!$C$2:$C$104, "2025-03", Transactions!$D$2:$D$104, "&lt;&gt;Transfer")</f>
        <v/>
      </c>
      <c r="C45" s="9">
        <f>SUMIFS(Transactions!$K$2:$K$104, Transactions!$C$2:$C$104, "2025-03", Transactions!$D$2:$D$104, "&lt;&gt;Transfer")</f>
        <v/>
      </c>
      <c r="D45" s="9">
        <f>SUMIFS(Transactions!$J$2:$J$104, Transactions!$C$2:$C$104, "2025-03", Transactions!$D$2:$D$104, "&lt;&gt;Transfer") - SUMIFS(Transactions!$K$2:$K$104, Transactions!$C$2:$C$104, "2025-03", Transactions!$D$2:$D$104, "&lt;&gt;Transfer")</f>
        <v/>
      </c>
    </row>
    <row r="46">
      <c r="A46" s="8" t="inlineStr">
        <is>
          <t>Difference</t>
        </is>
      </c>
      <c r="B46" s="9">
        <f>B45-B44</f>
        <v/>
      </c>
      <c r="C46" s="9">
        <f>C45-C44</f>
        <v/>
      </c>
      <c r="D46" s="9">
        <f>D45-D44</f>
        <v/>
      </c>
    </row>
    <row r="49">
      <c r="A49" s="3" t="inlineStr">
        <is>
          <t>April 2025</t>
        </is>
      </c>
    </row>
    <row r="51">
      <c r="A51" s="4" t="inlineStr">
        <is>
          <t>Category</t>
        </is>
      </c>
      <c r="B51" s="4" t="inlineStr">
        <is>
          <t>Credit in CHF</t>
        </is>
      </c>
      <c r="C51" s="4" t="inlineStr">
        <is>
          <t>Debit in CHF</t>
        </is>
      </c>
      <c r="D51" s="4" t="inlineStr">
        <is>
          <t>Net in CHF</t>
        </is>
      </c>
    </row>
    <row r="52">
      <c r="A52" t="inlineStr">
        <is>
          <t>Einkommen</t>
        </is>
      </c>
      <c r="B52" s="5" t="n">
        <v>9400</v>
      </c>
      <c r="C52" s="5" t="n">
        <v>0</v>
      </c>
      <c r="D52" s="5" t="n">
        <v>9400</v>
      </c>
    </row>
    <row r="53">
      <c r="A53" t="inlineStr">
        <is>
          <t>Wohnen</t>
        </is>
      </c>
      <c r="B53" s="5" t="n">
        <v>0</v>
      </c>
      <c r="C53" s="5" t="n">
        <v>1774</v>
      </c>
      <c r="D53" s="5" t="n">
        <v>-1774</v>
      </c>
    </row>
    <row r="54">
      <c r="A54" t="inlineStr">
        <is>
          <t>Einkaufen</t>
        </is>
      </c>
      <c r="B54" s="5" t="n">
        <v>0</v>
      </c>
      <c r="C54" s="5" t="n">
        <v>361.65</v>
      </c>
      <c r="D54" s="5" t="n">
        <v>-361.65</v>
      </c>
    </row>
    <row r="55">
      <c r="A55" t="inlineStr">
        <is>
          <t>Finanzen</t>
        </is>
      </c>
      <c r="B55" s="5" t="n">
        <v>0</v>
      </c>
      <c r="C55" s="5" t="n">
        <v>168.5</v>
      </c>
      <c r="D55" s="5" t="n">
        <v>-168.5</v>
      </c>
    </row>
    <row r="56">
      <c r="A56" t="inlineStr">
        <is>
          <t>Leben</t>
        </is>
      </c>
      <c r="B56" s="5" t="n">
        <v>135</v>
      </c>
      <c r="C56" s="5" t="n">
        <v>0</v>
      </c>
      <c r="D56" s="5" t="n">
        <v>135</v>
      </c>
    </row>
    <row r="57">
      <c r="A57" t="inlineStr">
        <is>
          <t>Uncategorized</t>
        </is>
      </c>
      <c r="B57" s="5" t="n">
        <v>69.05</v>
      </c>
      <c r="C57" s="5" t="n">
        <v>46.2</v>
      </c>
      <c r="D57" s="5" t="n">
        <v>22.85</v>
      </c>
    </row>
    <row r="58">
      <c r="A58" t="inlineStr">
        <is>
          <t>Freizeit</t>
        </is>
      </c>
      <c r="B58" s="5" t="n">
        <v>100</v>
      </c>
      <c r="C58" s="5" t="n">
        <v>0</v>
      </c>
      <c r="D58" s="5" t="n">
        <v>100</v>
      </c>
    </row>
    <row r="59">
      <c r="A59" t="inlineStr">
        <is>
          <t>Mobilität</t>
        </is>
      </c>
      <c r="B59" s="5" t="n">
        <v>45.5</v>
      </c>
      <c r="C59" s="5" t="n">
        <v>0</v>
      </c>
      <c r="D59" s="5" t="n">
        <v>45.5</v>
      </c>
    </row>
    <row r="60">
      <c r="A60" s="6" t="inlineStr">
        <is>
          <t>Total</t>
        </is>
      </c>
      <c r="B60" s="7" t="n">
        <v>9749.549999999999</v>
      </c>
      <c r="C60" s="7" t="n">
        <v>2350.35</v>
      </c>
      <c r="D60" s="7" t="n">
        <v>7399.2</v>
      </c>
    </row>
    <row r="61">
      <c r="A61" s="8" t="inlineStr">
        <is>
          <t>Check (Transactions)</t>
        </is>
      </c>
      <c r="B61" s="9">
        <f>SUMIFS(Transactions!$J$2:$J$104, Transactions!$C$2:$C$104, "2025-04", Transactions!$D$2:$D$104, "&lt;&gt;Transfer")</f>
        <v/>
      </c>
      <c r="C61" s="9">
        <f>SUMIFS(Transactions!$K$2:$K$104, Transactions!$C$2:$C$104, "2025-04", Transactions!$D$2:$D$104, "&lt;&gt;Transfer")</f>
        <v/>
      </c>
      <c r="D61" s="9">
        <f>SUMIFS(Transactions!$J$2:$J$104, Transactions!$C$2:$C$104, "2025-04", Transactions!$D$2:$D$104, "&lt;&gt;Transfer") - SUMIFS(Transactions!$K$2:$K$104, Transactions!$C$2:$C$104, "2025-04", Transactions!$D$2:$D$104, "&lt;&gt;Transfer")</f>
        <v/>
      </c>
    </row>
    <row r="62">
      <c r="A62" s="8" t="inlineStr">
        <is>
          <t>Difference</t>
        </is>
      </c>
      <c r="B62" s="9">
        <f>B61-B60</f>
        <v/>
      </c>
      <c r="C62" s="9">
        <f>C61-C60</f>
        <v/>
      </c>
      <c r="D62" s="9">
        <f>D61-D60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Subcategory Analysis</t>
        </is>
      </c>
    </row>
    <row r="2">
      <c r="A2" s="2" t="inlineStr">
        <is>
          <t>Note: Transactions with Transaction Category 'transfer' are excluded.</t>
        </is>
      </c>
    </row>
    <row r="5">
      <c r="A5" s="3" t="inlineStr">
        <is>
          <t>January 2025</t>
        </is>
      </c>
    </row>
    <row r="7">
      <c r="A7" s="4" t="inlineStr">
        <is>
          <t>Category</t>
        </is>
      </c>
      <c r="B7" s="4" t="inlineStr">
        <is>
          <t>Subcategory</t>
        </is>
      </c>
      <c r="C7" s="4" t="inlineStr">
        <is>
          <t>Credit in CHF</t>
        </is>
      </c>
      <c r="D7" s="4" t="inlineStr">
        <is>
          <t>Debit in CHF</t>
        </is>
      </c>
      <c r="E7" s="4" t="inlineStr">
        <is>
          <t>Net in CHF</t>
        </is>
      </c>
    </row>
    <row r="8">
      <c r="A8" t="inlineStr">
        <is>
          <t>Einkaufen</t>
        </is>
      </c>
      <c r="B8" t="inlineStr">
        <is>
          <t>Supermärkte</t>
        </is>
      </c>
      <c r="C8" s="5" t="n">
        <v>0</v>
      </c>
      <c r="D8" s="5" t="n">
        <v>333.05</v>
      </c>
      <c r="E8" s="5" t="n">
        <v>-333.05</v>
      </c>
    </row>
    <row r="9">
      <c r="A9" t="inlineStr">
        <is>
          <t>Einkommen</t>
        </is>
      </c>
      <c r="B9" t="inlineStr">
        <is>
          <t>Lohn</t>
        </is>
      </c>
      <c r="C9" s="5" t="n">
        <v>4000</v>
      </c>
      <c r="D9" s="5" t="n">
        <v>0</v>
      </c>
      <c r="E9" s="5" t="n">
        <v>4000</v>
      </c>
    </row>
    <row r="10">
      <c r="A10" t="inlineStr">
        <is>
          <t>Einkommen</t>
        </is>
      </c>
      <c r="B10" t="inlineStr">
        <is>
          <t>Familienzulage</t>
        </is>
      </c>
      <c r="C10" s="5" t="n">
        <v>200</v>
      </c>
      <c r="D10" s="5" t="n">
        <v>0</v>
      </c>
      <c r="E10" s="5" t="n">
        <v>200</v>
      </c>
    </row>
    <row r="11">
      <c r="A11" t="inlineStr">
        <is>
          <t>Freizeit</t>
        </is>
      </c>
      <c r="B11" t="inlineStr">
        <is>
          <t>Gastronomie</t>
        </is>
      </c>
      <c r="C11" s="5" t="n">
        <v>0</v>
      </c>
      <c r="D11" s="5" t="n">
        <v>24.5</v>
      </c>
      <c r="E11" s="5" t="n">
        <v>-24.5</v>
      </c>
    </row>
    <row r="12">
      <c r="A12" t="inlineStr">
        <is>
          <t>Leben</t>
        </is>
      </c>
      <c r="B12" t="inlineStr">
        <is>
          <t>Familie</t>
        </is>
      </c>
      <c r="C12" s="5" t="n">
        <v>0</v>
      </c>
      <c r="D12" s="5" t="n">
        <v>19</v>
      </c>
      <c r="E12" s="5" t="n">
        <v>-19</v>
      </c>
    </row>
    <row r="13">
      <c r="A13" t="inlineStr">
        <is>
          <t>Mobilität</t>
        </is>
      </c>
      <c r="B13" t="inlineStr">
        <is>
          <t>Privater Verkehr</t>
        </is>
      </c>
      <c r="C13" s="5" t="n">
        <v>0</v>
      </c>
      <c r="D13" s="5" t="n">
        <v>26.7</v>
      </c>
      <c r="E13" s="5" t="n">
        <v>-26.7</v>
      </c>
    </row>
    <row r="14">
      <c r="A14" t="inlineStr">
        <is>
          <t>Wohnen</t>
        </is>
      </c>
      <c r="B14" t="inlineStr">
        <is>
          <t>Miete und Hypothek</t>
        </is>
      </c>
      <c r="C14" s="5" t="n">
        <v>0</v>
      </c>
      <c r="D14" s="5" t="n">
        <v>1774</v>
      </c>
      <c r="E14" s="5" t="n">
        <v>-1774</v>
      </c>
    </row>
    <row r="15">
      <c r="A15" t="inlineStr">
        <is>
          <t>Wohnen</t>
        </is>
      </c>
      <c r="B15" t="inlineStr">
        <is>
          <t>Haushalt</t>
        </is>
      </c>
      <c r="C15" s="5" t="n">
        <v>0</v>
      </c>
      <c r="D15" s="5" t="n">
        <v>45.1</v>
      </c>
      <c r="E15" s="5" t="n">
        <v>-45.1</v>
      </c>
    </row>
    <row r="16">
      <c r="A16" s="6" t="inlineStr">
        <is>
          <t>Total</t>
        </is>
      </c>
      <c r="C16" s="7" t="n">
        <v>4200</v>
      </c>
      <c r="D16" s="7" t="n">
        <v>2222.35</v>
      </c>
      <c r="E16" s="7" t="n">
        <v>1977.65</v>
      </c>
    </row>
    <row r="17">
      <c r="A17" s="8" t="inlineStr">
        <is>
          <t>Check (Transactions)</t>
        </is>
      </c>
      <c r="C17" s="9">
        <f>SUMIFS(Transactions!$J$2:$J$104, Transactions!$C$2:$C$104, "2025-01", Transactions!$D$2:$D$104, "&lt;&gt;Transfer", Transactions!$F$2:$F$104, "&lt;&gt;")</f>
        <v/>
      </c>
      <c r="D17" s="9">
        <f>SUMIFS(Transactions!$K$2:$K$104, Transactions!$C$2:$C$104, "2025-01", Transactions!$D$2:$D$104, "&lt;&gt;Transfer", Transactions!$F$2:$F$104, "&lt;&gt;")</f>
        <v/>
      </c>
      <c r="E17" s="9">
        <f>SUMIFS(Transactions!$J$2:$J$104, Transactions!$C$2:$C$104, "2025-01", Transactions!$D$2:$D$104, "&lt;&gt;Transfer", Transactions!$F$2:$F$104, "&lt;&gt;") - SUMIFS(Transactions!$K$2:$K$104, Transactions!$C$2:$C$104, "2025-01", Transactions!$D$2:$D$104, "&lt;&gt;Transfer", Transactions!$F$2:$F$104, "&lt;&gt;")</f>
        <v/>
      </c>
    </row>
    <row r="18">
      <c r="A18" s="8" t="inlineStr">
        <is>
          <t>Difference</t>
        </is>
      </c>
      <c r="C18" s="9">
        <f>C17-C16</f>
        <v/>
      </c>
      <c r="D18" s="9">
        <f>D17-D16</f>
        <v/>
      </c>
      <c r="E18" s="9">
        <f>E17-E16</f>
        <v/>
      </c>
    </row>
    <row r="21">
      <c r="A21" s="3" t="inlineStr">
        <is>
          <t>February 2025</t>
        </is>
      </c>
    </row>
    <row r="23">
      <c r="A23" s="4" t="inlineStr">
        <is>
          <t>Category</t>
        </is>
      </c>
      <c r="B23" s="4" t="inlineStr">
        <is>
          <t>Subcategory</t>
        </is>
      </c>
      <c r="C23" s="4" t="inlineStr">
        <is>
          <t>Credit in CHF</t>
        </is>
      </c>
      <c r="D23" s="4" t="inlineStr">
        <is>
          <t>Debit in CHF</t>
        </is>
      </c>
      <c r="E23" s="4" t="inlineStr">
        <is>
          <t>Net in CHF</t>
        </is>
      </c>
    </row>
    <row r="24">
      <c r="A24" t="inlineStr">
        <is>
          <t>Einkaufen</t>
        </is>
      </c>
      <c r="B24" t="inlineStr">
        <is>
          <t>Supermärkte</t>
        </is>
      </c>
      <c r="C24" s="5" t="n">
        <v>0</v>
      </c>
      <c r="D24" s="5" t="n">
        <v>434.7</v>
      </c>
      <c r="E24" s="5" t="n">
        <v>-434.7</v>
      </c>
    </row>
    <row r="25">
      <c r="A25" t="inlineStr">
        <is>
          <t>Einkommen</t>
        </is>
      </c>
      <c r="B25" t="inlineStr">
        <is>
          <t>Lohn</t>
        </is>
      </c>
      <c r="C25" s="5" t="n">
        <v>4000</v>
      </c>
      <c r="D25" s="5" t="n">
        <v>0</v>
      </c>
      <c r="E25" s="5" t="n">
        <v>4000</v>
      </c>
    </row>
    <row r="26">
      <c r="A26" t="inlineStr">
        <is>
          <t>Einkommen</t>
        </is>
      </c>
      <c r="B26" t="inlineStr">
        <is>
          <t>Familienzulage</t>
        </is>
      </c>
      <c r="C26" s="5" t="n">
        <v>200</v>
      </c>
      <c r="D26" s="5" t="n">
        <v>0</v>
      </c>
      <c r="E26" s="5" t="n">
        <v>200</v>
      </c>
    </row>
    <row r="27">
      <c r="A27" t="inlineStr">
        <is>
          <t>Freizeit</t>
        </is>
      </c>
      <c r="B27" t="inlineStr">
        <is>
          <t>Reisen und Erleben</t>
        </is>
      </c>
      <c r="C27" s="5" t="n">
        <v>180</v>
      </c>
      <c r="D27" s="5" t="n">
        <v>0</v>
      </c>
      <c r="E27" s="5" t="n">
        <v>180</v>
      </c>
    </row>
    <row r="28">
      <c r="A28" t="inlineStr">
        <is>
          <t>Freizeit</t>
        </is>
      </c>
      <c r="B28" t="inlineStr">
        <is>
          <t>Gastronomie</t>
        </is>
      </c>
      <c r="C28" s="5" t="n">
        <v>0</v>
      </c>
      <c r="D28" s="5" t="n">
        <v>3</v>
      </c>
      <c r="E28" s="5" t="n">
        <v>-3</v>
      </c>
    </row>
    <row r="29">
      <c r="A29" t="inlineStr">
        <is>
          <t>Mobilität</t>
        </is>
      </c>
      <c r="B29" t="inlineStr">
        <is>
          <t>Öffentlicher Verkehr</t>
        </is>
      </c>
      <c r="C29" s="5" t="n">
        <v>48.4</v>
      </c>
      <c r="D29" s="5" t="n">
        <v>0</v>
      </c>
      <c r="E29" s="5" t="n">
        <v>48.4</v>
      </c>
    </row>
    <row r="30">
      <c r="A30" t="inlineStr">
        <is>
          <t>Wohnen</t>
        </is>
      </c>
      <c r="B30" t="inlineStr">
        <is>
          <t>Miete und Hypothek</t>
        </is>
      </c>
      <c r="C30" s="5" t="n">
        <v>0</v>
      </c>
      <c r="D30" s="5" t="n">
        <v>1774</v>
      </c>
      <c r="E30" s="5" t="n">
        <v>-1774</v>
      </c>
    </row>
    <row r="31">
      <c r="A31" s="6" t="inlineStr">
        <is>
          <t>Total</t>
        </is>
      </c>
      <c r="C31" s="7" t="n">
        <v>4428.4</v>
      </c>
      <c r="D31" s="7" t="n">
        <v>2211.7</v>
      </c>
      <c r="E31" s="7" t="n">
        <v>2216.7</v>
      </c>
    </row>
    <row r="32">
      <c r="A32" s="8" t="inlineStr">
        <is>
          <t>Check (Transactions)</t>
        </is>
      </c>
      <c r="C32" s="9">
        <f>SUMIFS(Transactions!$J$2:$J$104, Transactions!$C$2:$C$104, "2025-02", Transactions!$D$2:$D$104, "&lt;&gt;Transfer", Transactions!$F$2:$F$104, "&lt;&gt;")</f>
        <v/>
      </c>
      <c r="D32" s="9">
        <f>SUMIFS(Transactions!$K$2:$K$104, Transactions!$C$2:$C$104, "2025-02", Transactions!$D$2:$D$104, "&lt;&gt;Transfer", Transactions!$F$2:$F$104, "&lt;&gt;")</f>
        <v/>
      </c>
      <c r="E32" s="9">
        <f>SUMIFS(Transactions!$J$2:$J$104, Transactions!$C$2:$C$104, "2025-02", Transactions!$D$2:$D$104, "&lt;&gt;Transfer", Transactions!$F$2:$F$104, "&lt;&gt;") - SUMIFS(Transactions!$K$2:$K$104, Transactions!$C$2:$C$104, "2025-02", Transactions!$D$2:$D$104, "&lt;&gt;Transfer", Transactions!$F$2:$F$104, "&lt;&gt;")</f>
        <v/>
      </c>
    </row>
    <row r="33">
      <c r="A33" s="8" t="inlineStr">
        <is>
          <t>Difference</t>
        </is>
      </c>
      <c r="C33" s="9">
        <f>C32-C31</f>
        <v/>
      </c>
      <c r="D33" s="9">
        <f>D32-D31</f>
        <v/>
      </c>
      <c r="E33" s="9">
        <f>E32-E31</f>
        <v/>
      </c>
    </row>
    <row r="36">
      <c r="A36" s="3" t="inlineStr">
        <is>
          <t>March 2025</t>
        </is>
      </c>
    </row>
    <row r="38">
      <c r="A38" s="4" t="inlineStr">
        <is>
          <t>Category</t>
        </is>
      </c>
      <c r="B38" s="4" t="inlineStr">
        <is>
          <t>Subcategory</t>
        </is>
      </c>
      <c r="C38" s="4" t="inlineStr">
        <is>
          <t>Credit in CHF</t>
        </is>
      </c>
      <c r="D38" s="4" t="inlineStr">
        <is>
          <t>Debit in CHF</t>
        </is>
      </c>
      <c r="E38" s="4" t="inlineStr">
        <is>
          <t>Net in CHF</t>
        </is>
      </c>
    </row>
    <row r="39">
      <c r="A39" t="inlineStr">
        <is>
          <t>Einkaufen</t>
        </is>
      </c>
      <c r="B39" t="inlineStr">
        <is>
          <t>Supermärkte</t>
        </is>
      </c>
      <c r="C39" s="5" t="n">
        <v>0</v>
      </c>
      <c r="D39" s="5" t="n">
        <v>170.85</v>
      </c>
      <c r="E39" s="5" t="n">
        <v>-170.85</v>
      </c>
    </row>
    <row r="40">
      <c r="A40" t="inlineStr">
        <is>
          <t>Einkaufen</t>
        </is>
      </c>
      <c r="B40" t="inlineStr">
        <is>
          <t>Detail-Lebensmittel</t>
        </is>
      </c>
      <c r="C40" s="5" t="n">
        <v>0</v>
      </c>
      <c r="D40" s="5" t="n">
        <v>167.29</v>
      </c>
      <c r="E40" s="5" t="n">
        <v>-167.29</v>
      </c>
    </row>
    <row r="41">
      <c r="A41" t="inlineStr">
        <is>
          <t>Einkaufen</t>
        </is>
      </c>
      <c r="B41" t="inlineStr">
        <is>
          <t>Sonstiges Einkaufen</t>
        </is>
      </c>
      <c r="C41" s="5" t="n">
        <v>0</v>
      </c>
      <c r="D41" s="5" t="n">
        <v>14.65</v>
      </c>
      <c r="E41" s="5" t="n">
        <v>-14.65</v>
      </c>
    </row>
    <row r="42">
      <c r="A42" t="inlineStr">
        <is>
          <t>Einkommen</t>
        </is>
      </c>
      <c r="B42" t="inlineStr">
        <is>
          <t>Lohn</t>
        </is>
      </c>
      <c r="C42" s="5" t="n">
        <v>4000</v>
      </c>
      <c r="D42" s="5" t="n">
        <v>0</v>
      </c>
      <c r="E42" s="5" t="n">
        <v>4000</v>
      </c>
    </row>
    <row r="43">
      <c r="A43" t="inlineStr">
        <is>
          <t>Einkommen</t>
        </is>
      </c>
      <c r="B43" t="inlineStr">
        <is>
          <t>Bonus</t>
        </is>
      </c>
      <c r="C43" s="5" t="n">
        <v>1500</v>
      </c>
      <c r="D43" s="5" t="n">
        <v>0</v>
      </c>
      <c r="E43" s="5" t="n">
        <v>1500</v>
      </c>
    </row>
    <row r="44">
      <c r="A44" t="inlineStr">
        <is>
          <t>Einkommen</t>
        </is>
      </c>
      <c r="B44" t="inlineStr">
        <is>
          <t>Familienzulage</t>
        </is>
      </c>
      <c r="C44" s="5" t="n">
        <v>200</v>
      </c>
      <c r="D44" s="5" t="n">
        <v>0</v>
      </c>
      <c r="E44" s="5" t="n">
        <v>200</v>
      </c>
    </row>
    <row r="45">
      <c r="A45" t="inlineStr">
        <is>
          <t>Finanzen</t>
        </is>
      </c>
      <c r="B45" t="inlineStr">
        <is>
          <t>Fees</t>
        </is>
      </c>
      <c r="C45" s="5" t="n">
        <v>0</v>
      </c>
      <c r="D45" s="5" t="n">
        <v>5</v>
      </c>
      <c r="E45" s="5" t="n">
        <v>-5</v>
      </c>
    </row>
    <row r="46">
      <c r="A46" t="inlineStr">
        <is>
          <t>Freizeit</t>
        </is>
      </c>
      <c r="B46" t="inlineStr">
        <is>
          <t>Gastronomie</t>
        </is>
      </c>
      <c r="C46" s="5" t="n">
        <v>0</v>
      </c>
      <c r="D46" s="5" t="n">
        <v>150.5</v>
      </c>
      <c r="E46" s="5" t="n">
        <v>-150.5</v>
      </c>
    </row>
    <row r="47">
      <c r="A47" t="inlineStr">
        <is>
          <t>Freizeit</t>
        </is>
      </c>
      <c r="B47" t="inlineStr">
        <is>
          <t>Kultur</t>
        </is>
      </c>
      <c r="C47" s="5" t="n">
        <v>0</v>
      </c>
      <c r="D47" s="5" t="n">
        <v>15</v>
      </c>
      <c r="E47" s="5" t="n">
        <v>-15</v>
      </c>
    </row>
    <row r="48">
      <c r="A48" t="inlineStr">
        <is>
          <t>Leben</t>
        </is>
      </c>
      <c r="B48" t="inlineStr">
        <is>
          <t>Krankenkasse</t>
        </is>
      </c>
      <c r="C48" s="5" t="n">
        <v>1787.95</v>
      </c>
      <c r="D48" s="5" t="n">
        <v>77.45</v>
      </c>
      <c r="E48" s="5" t="n">
        <v>1710.5</v>
      </c>
    </row>
    <row r="49">
      <c r="A49" t="inlineStr">
        <is>
          <t>Leben</t>
        </is>
      </c>
      <c r="B49" t="inlineStr">
        <is>
          <t>Familie</t>
        </is>
      </c>
      <c r="C49" s="5" t="n">
        <v>0</v>
      </c>
      <c r="D49" s="5" t="n">
        <v>200</v>
      </c>
      <c r="E49" s="5" t="n">
        <v>-200</v>
      </c>
    </row>
    <row r="50">
      <c r="A50" t="inlineStr">
        <is>
          <t>Leben</t>
        </is>
      </c>
      <c r="B50" t="inlineStr">
        <is>
          <t>Styling und Wellness</t>
        </is>
      </c>
      <c r="C50" s="5" t="n">
        <v>0</v>
      </c>
      <c r="D50" s="5" t="n">
        <v>79.90000000000001</v>
      </c>
      <c r="E50" s="5" t="n">
        <v>-79.90000000000001</v>
      </c>
    </row>
    <row r="51">
      <c r="A51" t="inlineStr">
        <is>
          <t>Leben</t>
        </is>
      </c>
      <c r="B51" t="inlineStr">
        <is>
          <t>Sonstiges Leben</t>
        </is>
      </c>
      <c r="C51" s="5" t="n">
        <v>0</v>
      </c>
      <c r="D51" s="5" t="n">
        <v>36.8</v>
      </c>
      <c r="E51" s="5" t="n">
        <v>-36.8</v>
      </c>
    </row>
    <row r="52">
      <c r="A52" t="inlineStr">
        <is>
          <t>Leben</t>
        </is>
      </c>
      <c r="B52" t="inlineStr">
        <is>
          <t>Gesundheit</t>
        </is>
      </c>
      <c r="C52" s="5" t="n">
        <v>0</v>
      </c>
      <c r="D52" s="5" t="n">
        <v>24.4</v>
      </c>
      <c r="E52" s="5" t="n">
        <v>-24.4</v>
      </c>
    </row>
    <row r="53">
      <c r="A53" t="inlineStr">
        <is>
          <t>Mobilität</t>
        </is>
      </c>
      <c r="B53" t="inlineStr">
        <is>
          <t>Öffentlicher Verkehr</t>
        </is>
      </c>
      <c r="C53" s="5" t="n">
        <v>96.90000000000001</v>
      </c>
      <c r="D53" s="5" t="n">
        <v>96.90000000000001</v>
      </c>
      <c r="E53" s="5" t="n">
        <v>0</v>
      </c>
    </row>
    <row r="54">
      <c r="A54" t="inlineStr">
        <is>
          <t>Wohnen</t>
        </is>
      </c>
      <c r="B54" t="inlineStr">
        <is>
          <t>Miete und Hypothek</t>
        </is>
      </c>
      <c r="C54" s="5" t="n">
        <v>0</v>
      </c>
      <c r="D54" s="5" t="n">
        <v>1774</v>
      </c>
      <c r="E54" s="5" t="n">
        <v>-1774</v>
      </c>
    </row>
    <row r="55">
      <c r="A55" t="inlineStr">
        <is>
          <t>Wohnen</t>
        </is>
      </c>
      <c r="B55" t="inlineStr">
        <is>
          <t>Kommunikation</t>
        </is>
      </c>
      <c r="C55" s="5" t="n">
        <v>0</v>
      </c>
      <c r="D55" s="5" t="n">
        <v>70.27</v>
      </c>
      <c r="E55" s="5" t="n">
        <v>-70.27</v>
      </c>
    </row>
    <row r="56">
      <c r="A56" t="inlineStr">
        <is>
          <t>Wohnen</t>
        </is>
      </c>
      <c r="B56" t="inlineStr">
        <is>
          <t>Haushalt</t>
        </is>
      </c>
      <c r="C56" s="5" t="n">
        <v>0</v>
      </c>
      <c r="D56" s="5" t="n">
        <v>42.85</v>
      </c>
      <c r="E56" s="5" t="n">
        <v>-42.85</v>
      </c>
    </row>
    <row r="57">
      <c r="A57" t="inlineStr">
        <is>
          <t>Wohnen</t>
        </is>
      </c>
      <c r="B57" t="inlineStr">
        <is>
          <t>Handwerk und Garten</t>
        </is>
      </c>
      <c r="C57" s="5" t="n">
        <v>0</v>
      </c>
      <c r="D57" s="5" t="n">
        <v>10.9</v>
      </c>
      <c r="E57" s="5" t="n">
        <v>-10.9</v>
      </c>
    </row>
    <row r="58">
      <c r="A58" s="6" t="inlineStr">
        <is>
          <t>Total</t>
        </is>
      </c>
      <c r="C58" s="7" t="n">
        <v>7584.85</v>
      </c>
      <c r="D58" s="7" t="n">
        <v>2936.76</v>
      </c>
      <c r="E58" s="7" t="n">
        <v>4648.09</v>
      </c>
    </row>
    <row r="59">
      <c r="A59" s="8" t="inlineStr">
        <is>
          <t>Check (Transactions)</t>
        </is>
      </c>
      <c r="C59" s="9">
        <f>SUMIFS(Transactions!$J$2:$J$104, Transactions!$C$2:$C$104, "2025-03", Transactions!$D$2:$D$104, "&lt;&gt;Transfer", Transactions!$F$2:$F$104, "&lt;&gt;")</f>
        <v/>
      </c>
      <c r="D59" s="9">
        <f>SUMIFS(Transactions!$K$2:$K$104, Transactions!$C$2:$C$104, "2025-03", Transactions!$D$2:$D$104, "&lt;&gt;Transfer", Transactions!$F$2:$F$104, "&lt;&gt;")</f>
        <v/>
      </c>
      <c r="E59" s="9">
        <f>SUMIFS(Transactions!$J$2:$J$104, Transactions!$C$2:$C$104, "2025-03", Transactions!$D$2:$D$104, "&lt;&gt;Transfer", Transactions!$F$2:$F$104, "&lt;&gt;") - SUMIFS(Transactions!$K$2:$K$104, Transactions!$C$2:$C$104, "2025-03", Transactions!$D$2:$D$104, "&lt;&gt;Transfer", Transactions!$F$2:$F$104, "&lt;&gt;")</f>
        <v/>
      </c>
    </row>
    <row r="60">
      <c r="A60" s="8" t="inlineStr">
        <is>
          <t>Difference</t>
        </is>
      </c>
      <c r="C60" s="9">
        <f>C59-C58</f>
        <v/>
      </c>
      <c r="D60" s="9">
        <f>D59-D58</f>
        <v/>
      </c>
      <c r="E60" s="9">
        <f>E59-E58</f>
        <v/>
      </c>
    </row>
    <row r="63">
      <c r="A63" s="3" t="inlineStr">
        <is>
          <t>April 2025</t>
        </is>
      </c>
    </row>
    <row r="65">
      <c r="A65" s="4" t="inlineStr">
        <is>
          <t>Category</t>
        </is>
      </c>
      <c r="B65" s="4" t="inlineStr">
        <is>
          <t>Subcategory</t>
        </is>
      </c>
      <c r="C65" s="4" t="inlineStr">
        <is>
          <t>Credit in CHF</t>
        </is>
      </c>
      <c r="D65" s="4" t="inlineStr">
        <is>
          <t>Debit in CHF</t>
        </is>
      </c>
      <c r="E65" s="4" t="inlineStr">
        <is>
          <t>Net in CHF</t>
        </is>
      </c>
    </row>
    <row r="66">
      <c r="A66" t="inlineStr">
        <is>
          <t>Einkaufen</t>
        </is>
      </c>
      <c r="B66" t="inlineStr">
        <is>
          <t>Supermärkte</t>
        </is>
      </c>
      <c r="C66" s="5" t="n">
        <v>0</v>
      </c>
      <c r="D66" s="5" t="n">
        <v>361.65</v>
      </c>
      <c r="E66" s="5" t="n">
        <v>-361.65</v>
      </c>
    </row>
    <row r="67">
      <c r="A67" t="inlineStr">
        <is>
          <t>Einkommen</t>
        </is>
      </c>
      <c r="B67" t="inlineStr">
        <is>
          <t>Nebenerwerb</t>
        </is>
      </c>
      <c r="C67" s="5" t="n">
        <v>4200</v>
      </c>
      <c r="D67" s="5" t="n">
        <v>0</v>
      </c>
      <c r="E67" s="5" t="n">
        <v>4200</v>
      </c>
    </row>
    <row r="68">
      <c r="A68" t="inlineStr">
        <is>
          <t>Einkommen</t>
        </is>
      </c>
      <c r="B68" t="inlineStr">
        <is>
          <t>Lohn</t>
        </is>
      </c>
      <c r="C68" s="5" t="n">
        <v>4000</v>
      </c>
      <c r="D68" s="5" t="n">
        <v>0</v>
      </c>
      <c r="E68" s="5" t="n">
        <v>4000</v>
      </c>
    </row>
    <row r="69">
      <c r="A69" t="inlineStr">
        <is>
          <t>Einkommen</t>
        </is>
      </c>
      <c r="B69" t="inlineStr">
        <is>
          <t>Bonus</t>
        </is>
      </c>
      <c r="C69" s="5" t="n">
        <v>1000</v>
      </c>
      <c r="D69" s="5" t="n">
        <v>0</v>
      </c>
      <c r="E69" s="5" t="n">
        <v>1000</v>
      </c>
    </row>
    <row r="70">
      <c r="A70" t="inlineStr">
        <is>
          <t>Einkommen</t>
        </is>
      </c>
      <c r="B70" t="inlineStr">
        <is>
          <t>Familienzulage</t>
        </is>
      </c>
      <c r="C70" s="5" t="n">
        <v>200</v>
      </c>
      <c r="D70" s="5" t="n">
        <v>0</v>
      </c>
      <c r="E70" s="5" t="n">
        <v>200</v>
      </c>
    </row>
    <row r="71">
      <c r="A71" t="inlineStr">
        <is>
          <t>Finanzen</t>
        </is>
      </c>
      <c r="B71" t="inlineStr">
        <is>
          <t>Bargeldbezug</t>
        </is>
      </c>
      <c r="C71" s="5" t="n">
        <v>0</v>
      </c>
      <c r="D71" s="5" t="n">
        <v>143.5</v>
      </c>
      <c r="E71" s="5" t="n">
        <v>-143.5</v>
      </c>
    </row>
    <row r="72">
      <c r="A72" t="inlineStr">
        <is>
          <t>Finanzen</t>
        </is>
      </c>
      <c r="B72" t="inlineStr">
        <is>
          <t>Spenden</t>
        </is>
      </c>
      <c r="C72" s="5" t="n">
        <v>0</v>
      </c>
      <c r="D72" s="5" t="n">
        <v>25</v>
      </c>
      <c r="E72" s="5" t="n">
        <v>-25</v>
      </c>
    </row>
    <row r="73">
      <c r="A73" t="inlineStr">
        <is>
          <t>Freizeit</t>
        </is>
      </c>
      <c r="B73" t="inlineStr">
        <is>
          <t>Reisen und Erleben</t>
        </is>
      </c>
      <c r="C73" s="5" t="n">
        <v>100</v>
      </c>
      <c r="D73" s="5" t="n">
        <v>0</v>
      </c>
      <c r="E73" s="5" t="n">
        <v>100</v>
      </c>
    </row>
    <row r="74">
      <c r="A74" t="inlineStr">
        <is>
          <t>Leben</t>
        </is>
      </c>
      <c r="B74" t="inlineStr">
        <is>
          <t>Krankenkasse</t>
        </is>
      </c>
      <c r="C74" s="5" t="n">
        <v>120</v>
      </c>
      <c r="D74" s="5" t="n">
        <v>0</v>
      </c>
      <c r="E74" s="5" t="n">
        <v>120</v>
      </c>
    </row>
    <row r="75">
      <c r="A75" t="inlineStr">
        <is>
          <t>Leben</t>
        </is>
      </c>
      <c r="B75" t="inlineStr">
        <is>
          <t>Familie</t>
        </is>
      </c>
      <c r="C75" s="5" t="n">
        <v>15</v>
      </c>
      <c r="D75" s="5" t="n">
        <v>0</v>
      </c>
      <c r="E75" s="5" t="n">
        <v>15</v>
      </c>
    </row>
    <row r="76">
      <c r="A76" t="inlineStr">
        <is>
          <t>Mobilität</t>
        </is>
      </c>
      <c r="B76" t="inlineStr">
        <is>
          <t>Öffentlicher Verkehr</t>
        </is>
      </c>
      <c r="C76" s="5" t="n">
        <v>45.5</v>
      </c>
      <c r="D76" s="5" t="n">
        <v>0</v>
      </c>
      <c r="E76" s="5" t="n">
        <v>45.5</v>
      </c>
    </row>
    <row r="77">
      <c r="A77" t="inlineStr">
        <is>
          <t>Wohnen</t>
        </is>
      </c>
      <c r="B77" t="inlineStr">
        <is>
          <t>Miete und Hypothek</t>
        </is>
      </c>
      <c r="C77" s="5" t="n">
        <v>0</v>
      </c>
      <c r="D77" s="5" t="n">
        <v>1774</v>
      </c>
      <c r="E77" s="5" t="n">
        <v>-1774</v>
      </c>
    </row>
    <row r="78">
      <c r="A78" s="6" t="inlineStr">
        <is>
          <t>Total</t>
        </is>
      </c>
      <c r="C78" s="7" t="n">
        <v>9680.5</v>
      </c>
      <c r="D78" s="7" t="n">
        <v>2304.15</v>
      </c>
      <c r="E78" s="7" t="n">
        <v>7376.35</v>
      </c>
    </row>
    <row r="79">
      <c r="A79" s="8" t="inlineStr">
        <is>
          <t>Check (Transactions)</t>
        </is>
      </c>
      <c r="C79" s="9">
        <f>SUMIFS(Transactions!$J$2:$J$104, Transactions!$C$2:$C$104, "2025-04", Transactions!$D$2:$D$104, "&lt;&gt;Transfer", Transactions!$F$2:$F$104, "&lt;&gt;")</f>
        <v/>
      </c>
      <c r="D79" s="9">
        <f>SUMIFS(Transactions!$K$2:$K$104, Transactions!$C$2:$C$104, "2025-04", Transactions!$D$2:$D$104, "&lt;&gt;Transfer", Transactions!$F$2:$F$104, "&lt;&gt;")</f>
        <v/>
      </c>
      <c r="E79" s="9">
        <f>SUMIFS(Transactions!$J$2:$J$104, Transactions!$C$2:$C$104, "2025-04", Transactions!$D$2:$D$104, "&lt;&gt;Transfer", Transactions!$F$2:$F$104, "&lt;&gt;") - SUMIFS(Transactions!$K$2:$K$104, Transactions!$C$2:$C$104, "2025-04", Transactions!$D$2:$D$104, "&lt;&gt;Transfer", Transactions!$F$2:$F$104, "&lt;&gt;")</f>
        <v/>
      </c>
    </row>
    <row r="80">
      <c r="A80" s="8" t="inlineStr">
        <is>
          <t>Difference</t>
        </is>
      </c>
      <c r="C80" s="9">
        <f>C79-C78</f>
        <v/>
      </c>
      <c r="D80" s="9">
        <f>D79-D78</f>
        <v/>
      </c>
      <c r="E80" s="9">
        <f>E79-E78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2" customWidth="1" min="4" max="4"/>
    <col width="16" customWidth="1" min="5" max="5"/>
    <col width="22" customWidth="1" min="6" max="6"/>
    <col width="32" customWidth="1" min="7" max="7"/>
    <col width="40" customWidth="1" min="8" max="8"/>
    <col width="40" customWidth="1" min="9" max="9"/>
    <col width="12" customWidth="1" min="10" max="10"/>
    <col width="12" customWidth="1" min="11" max="11"/>
    <col width="12" customWidth="1" min="12" max="12"/>
    <col width="28" customWidth="1" min="13" max="13"/>
    <col width="32" customWidth="1" min="14" max="14"/>
  </cols>
  <sheetData>
    <row r="1">
      <c r="A1" s="4" t="inlineStr">
        <is>
          <t>Transaction ID</t>
        </is>
      </c>
      <c r="B1" s="4" t="inlineStr">
        <is>
          <t>Date</t>
        </is>
      </c>
      <c r="C1" s="4" t="inlineStr">
        <is>
          <t>Month</t>
        </is>
      </c>
      <c r="D1" s="4" t="inlineStr">
        <is>
          <t>Transaction Category</t>
        </is>
      </c>
      <c r="E1" s="4" t="inlineStr">
        <is>
          <t>Category</t>
        </is>
      </c>
      <c r="F1" s="4" t="inlineStr">
        <is>
          <t>Subcategory</t>
        </is>
      </c>
      <c r="G1" s="4" t="inlineStr">
        <is>
          <t>Category / Subcategory</t>
        </is>
      </c>
      <c r="H1" s="4" t="inlineStr">
        <is>
          <t>Payee</t>
        </is>
      </c>
      <c r="I1" s="4" t="inlineStr">
        <is>
          <t>Reference</t>
        </is>
      </c>
      <c r="J1" s="4" t="inlineStr">
        <is>
          <t>Credit</t>
        </is>
      </c>
      <c r="K1" s="4" t="inlineStr">
        <is>
          <t>Debit</t>
        </is>
      </c>
      <c r="L1" s="4" t="inlineStr">
        <is>
          <t>Amount</t>
        </is>
      </c>
      <c r="M1" s="4" t="inlineStr">
        <is>
          <t>Rule</t>
        </is>
      </c>
      <c r="N1" s="4" t="inlineStr">
        <is>
          <t>Source File</t>
        </is>
      </c>
    </row>
    <row r="2">
      <c r="A2" t="inlineStr">
        <is>
          <t>TX-000059</t>
        </is>
      </c>
      <c r="B2" s="11" t="n">
        <v>45660</v>
      </c>
      <c r="C2" t="inlineStr">
        <is>
          <t>2025-01</t>
        </is>
      </c>
      <c r="D2" t="inlineStr">
        <is>
          <t>Expense</t>
        </is>
      </c>
      <c r="E2" t="inlineStr">
        <is>
          <t>Mobilität</t>
        </is>
      </c>
      <c r="F2" t="inlineStr">
        <is>
          <t>Privater Verkehr</t>
        </is>
      </c>
      <c r="G2" t="inlineStr">
        <is>
          <t>Mobilität / Privater Verkehr</t>
        </is>
      </c>
      <c r="H2" t="inlineStr">
        <is>
          <t>MOBILITY MUSTER GENOSSENSCHAFT 6343 ROTKREUZ</t>
        </is>
      </c>
      <c r="I2" t="inlineStr">
        <is>
          <t>MUSTERBANK AG MUSTERSTRASSE 12 6002 LUZERN</t>
        </is>
      </c>
      <c r="J2" s="5" t="n">
        <v>0</v>
      </c>
      <c r="K2" s="5" t="n">
        <v>26.7</v>
      </c>
      <c r="L2" s="5" t="n">
        <v>26.7</v>
      </c>
      <c r="M2" t="inlineStr">
        <is>
          <t>transport_2</t>
        </is>
      </c>
      <c r="N2" t="inlineStr">
        <is>
          <t>export.202501.categorized.csv</t>
        </is>
      </c>
    </row>
    <row r="3">
      <c r="A3" t="inlineStr">
        <is>
          <t>TX-000078</t>
        </is>
      </c>
      <c r="B3" s="11" t="n">
        <v>45661</v>
      </c>
      <c r="C3" t="inlineStr">
        <is>
          <t>2025-01</t>
        </is>
      </c>
      <c r="D3" t="inlineStr">
        <is>
          <t>Expense</t>
        </is>
      </c>
      <c r="E3" t="inlineStr">
        <is>
          <t>Einkaufen</t>
        </is>
      </c>
      <c r="F3" t="inlineStr">
        <is>
          <t>Supermärkte</t>
        </is>
      </c>
      <c r="G3" t="inlineStr">
        <is>
          <t>Einkaufen / Supermärkte</t>
        </is>
      </c>
      <c r="H3" t="inlineStr">
        <is>
          <t>MIGROS M RIVERSIDE (7741)</t>
        </is>
      </c>
      <c r="J3" s="5" t="n">
        <v>0</v>
      </c>
      <c r="K3" s="5" t="n">
        <v>41.2</v>
      </c>
      <c r="L3" s="5" t="n">
        <v>41.2</v>
      </c>
      <c r="M3" t="inlineStr">
        <is>
          <t>supermarket_1</t>
        </is>
      </c>
      <c r="N3" t="inlineStr">
        <is>
          <t>export.202501.categorized.csv</t>
        </is>
      </c>
    </row>
    <row r="4">
      <c r="A4" t="inlineStr">
        <is>
          <t>TX-000077</t>
        </is>
      </c>
      <c r="B4" s="11" t="n">
        <v>45667</v>
      </c>
      <c r="C4" t="inlineStr">
        <is>
          <t>2025-01</t>
        </is>
      </c>
      <c r="D4" t="inlineStr">
        <is>
          <t>Expense</t>
        </is>
      </c>
      <c r="E4" t="inlineStr">
        <is>
          <t>Einkaufen</t>
        </is>
      </c>
      <c r="F4" t="inlineStr">
        <is>
          <t>Supermärkte</t>
        </is>
      </c>
      <c r="G4" t="inlineStr">
        <is>
          <t>Einkaufen / Supermärkte</t>
        </is>
      </c>
      <c r="H4" t="inlineStr">
        <is>
          <t>MIGROS MARKTHALLE (8812)</t>
        </is>
      </c>
      <c r="J4" s="5" t="n">
        <v>0</v>
      </c>
      <c r="K4" s="5" t="n">
        <v>118.3</v>
      </c>
      <c r="L4" s="5" t="n">
        <v>118.3</v>
      </c>
      <c r="M4" t="inlineStr">
        <is>
          <t>supermarket_1</t>
        </is>
      </c>
      <c r="N4" t="inlineStr">
        <is>
          <t>export.202501.categorized.csv</t>
        </is>
      </c>
    </row>
    <row r="5">
      <c r="A5" t="inlineStr">
        <is>
          <t>TX-000057</t>
        </is>
      </c>
      <c r="B5" s="11" t="n">
        <v>45672</v>
      </c>
      <c r="C5" t="inlineStr">
        <is>
          <t>2025-01</t>
        </is>
      </c>
      <c r="D5" t="inlineStr">
        <is>
          <t>Expense</t>
        </is>
      </c>
      <c r="E5" t="inlineStr">
        <is>
          <t>Leben</t>
        </is>
      </c>
      <c r="F5" t="inlineStr">
        <is>
          <t>Familie</t>
        </is>
      </c>
      <c r="G5" t="inlineStr">
        <is>
          <t>Leben / Familie</t>
        </is>
      </c>
      <c r="H5" t="inlineStr">
        <is>
          <t>ZMITTAG 13.1.</t>
        </is>
      </c>
      <c r="I5" t="inlineStr">
        <is>
          <t>ZMITTAG 13.1.</t>
        </is>
      </c>
      <c r="J5" s="5" t="n">
        <v>0</v>
      </c>
      <c r="K5" s="5" t="n">
        <v>19</v>
      </c>
      <c r="L5" s="5" t="n">
        <v>19</v>
      </c>
      <c r="M5" t="inlineStr">
        <is>
          <t>family_2</t>
        </is>
      </c>
      <c r="N5" t="inlineStr">
        <is>
          <t>export.202501.categorized.csv</t>
        </is>
      </c>
    </row>
    <row r="6">
      <c r="A6" t="inlineStr">
        <is>
          <t>TX-000076.1</t>
        </is>
      </c>
      <c r="B6" s="11" t="n">
        <v>45675</v>
      </c>
      <c r="C6" t="inlineStr">
        <is>
          <t>2025-01</t>
        </is>
      </c>
      <c r="D6" t="inlineStr">
        <is>
          <t>Expense</t>
        </is>
      </c>
      <c r="E6" t="inlineStr">
        <is>
          <t>Freizeit</t>
        </is>
      </c>
      <c r="F6" t="inlineStr">
        <is>
          <t>Gastronomie</t>
        </is>
      </c>
      <c r="G6" t="inlineStr">
        <is>
          <t>Freizeit / Gastronomie</t>
        </is>
      </c>
      <c r="H6" t="inlineStr">
        <is>
          <t>COOP-5510 RIVERSIDE REST.</t>
        </is>
      </c>
      <c r="J6" s="5" t="n">
        <v>0</v>
      </c>
      <c r="K6" s="5" t="n">
        <v>24.5</v>
      </c>
      <c r="L6" s="5" t="n">
        <v>24.5</v>
      </c>
      <c r="M6" t="inlineStr">
        <is>
          <t>supermarket_1</t>
        </is>
      </c>
      <c r="N6" t="inlineStr">
        <is>
          <t>export.202501.categorized.csv</t>
        </is>
      </c>
    </row>
    <row r="7">
      <c r="A7" t="inlineStr">
        <is>
          <t>TX-000076.2</t>
        </is>
      </c>
      <c r="B7" s="11" t="n">
        <v>45675</v>
      </c>
      <c r="C7" t="inlineStr">
        <is>
          <t>2025-01</t>
        </is>
      </c>
      <c r="D7" t="inlineStr">
        <is>
          <t>Expense</t>
        </is>
      </c>
      <c r="E7" t="inlineStr">
        <is>
          <t>Wohnen</t>
        </is>
      </c>
      <c r="F7" t="inlineStr">
        <is>
          <t>Haushalt</t>
        </is>
      </c>
      <c r="G7" t="inlineStr">
        <is>
          <t>Wohnen / Haushalt</t>
        </is>
      </c>
      <c r="H7" t="inlineStr">
        <is>
          <t>COOP-5510 RIVERSIDE REST.</t>
        </is>
      </c>
      <c r="J7" s="5" t="n">
        <v>0</v>
      </c>
      <c r="K7" s="5" t="n">
        <v>31.2</v>
      </c>
      <c r="L7" s="5" t="n">
        <v>31.2</v>
      </c>
      <c r="M7" t="inlineStr">
        <is>
          <t>supermarket_1</t>
        </is>
      </c>
      <c r="N7" t="inlineStr">
        <is>
          <t>export.202501.categorized.csv</t>
        </is>
      </c>
    </row>
    <row r="8">
      <c r="A8" t="inlineStr">
        <is>
          <t>TX-000076.3</t>
        </is>
      </c>
      <c r="B8" s="11" t="n">
        <v>45675</v>
      </c>
      <c r="C8" t="inlineStr">
        <is>
          <t>2025-01</t>
        </is>
      </c>
      <c r="D8" t="inlineStr">
        <is>
          <t>Expense</t>
        </is>
      </c>
      <c r="E8" t="inlineStr">
        <is>
          <t>Einkaufen</t>
        </is>
      </c>
      <c r="F8" t="inlineStr">
        <is>
          <t>Supermärkte</t>
        </is>
      </c>
      <c r="G8" t="inlineStr">
        <is>
          <t>Einkaufen / Supermärkte</t>
        </is>
      </c>
      <c r="H8" t="inlineStr">
        <is>
          <t>COOP-5510 RIVERSIDE REST.</t>
        </is>
      </c>
      <c r="J8" s="5" t="n">
        <v>0</v>
      </c>
      <c r="K8" s="5" t="n">
        <v>77.15000000000001</v>
      </c>
      <c r="L8" s="5" t="n">
        <v>77.15000000000001</v>
      </c>
      <c r="M8" t="inlineStr">
        <is>
          <t>supermarket_1</t>
        </is>
      </c>
      <c r="N8" t="inlineStr">
        <is>
          <t>export.202501.categorized.csv</t>
        </is>
      </c>
    </row>
    <row r="9">
      <c r="A9" t="inlineStr">
        <is>
          <t>TX-000002</t>
        </is>
      </c>
      <c r="B9" s="11" t="n">
        <v>45676</v>
      </c>
      <c r="C9" t="inlineStr">
        <is>
          <t>2025-01</t>
        </is>
      </c>
      <c r="D9" t="inlineStr">
        <is>
          <t>Expense</t>
        </is>
      </c>
      <c r="E9" t="inlineStr">
        <is>
          <t>Wohnen</t>
        </is>
      </c>
      <c r="F9" t="inlineStr">
        <is>
          <t>Haushalt</t>
        </is>
      </c>
      <c r="G9" t="inlineStr">
        <is>
          <t>Wohnen / Haushalt</t>
        </is>
      </c>
      <c r="H9" t="inlineStr">
        <is>
          <t>ONLINE HAUSHALT AG</t>
        </is>
      </c>
      <c r="I9" t="inlineStr">
        <is>
          <t>PAYMENT ID 250119000000000000 BESTELLNUMMER DP-P-00000000</t>
        </is>
      </c>
      <c r="J9" s="5" t="n">
        <v>0</v>
      </c>
      <c r="K9" s="5" t="n">
        <v>13.9</v>
      </c>
      <c r="L9" s="5" t="n">
        <v>13.9</v>
      </c>
      <c r="M9" t="inlineStr">
        <is>
          <t>home_3</t>
        </is>
      </c>
      <c r="N9" t="inlineStr">
        <is>
          <t>export.202501.categorized.csv</t>
        </is>
      </c>
    </row>
    <row r="10">
      <c r="A10" t="inlineStr">
        <is>
          <t>TX-000001</t>
        </is>
      </c>
      <c r="B10" s="11" t="n">
        <v>45682</v>
      </c>
      <c r="C10" t="inlineStr">
        <is>
          <t>2025-01</t>
        </is>
      </c>
      <c r="D10" t="inlineStr">
        <is>
          <t>Refund</t>
        </is>
      </c>
      <c r="E10" t="inlineStr">
        <is>
          <t>Rückerstattungen</t>
        </is>
      </c>
      <c r="G10" t="inlineStr">
        <is>
          <t>Rückerstattungen</t>
        </is>
      </c>
      <c r="H10" t="inlineStr">
        <is>
          <t>+41790000000 MAX MUSTER</t>
        </is>
      </c>
      <c r="I10" t="inlineStr">
        <is>
          <t>MITTEILUNGEN: TEST</t>
        </is>
      </c>
      <c r="J10" s="5" t="n">
        <v>1</v>
      </c>
      <c r="K10" s="5" t="n">
        <v>0</v>
      </c>
      <c r="L10" s="5" t="n">
        <v>-1</v>
      </c>
      <c r="M10" t="inlineStr">
        <is>
          <t>refund_1</t>
        </is>
      </c>
      <c r="N10" t="inlineStr">
        <is>
          <t>export.202501.categorized.csv</t>
        </is>
      </c>
    </row>
    <row r="11">
      <c r="A11" t="inlineStr">
        <is>
          <t>TX-000070.1</t>
        </is>
      </c>
      <c r="B11" s="11" t="n">
        <v>45682</v>
      </c>
      <c r="C11" t="inlineStr">
        <is>
          <t>2025-01</t>
        </is>
      </c>
      <c r="D11" t="inlineStr">
        <is>
          <t>Income</t>
        </is>
      </c>
      <c r="E11" t="inlineStr">
        <is>
          <t>Einkommen</t>
        </is>
      </c>
      <c r="F11" t="inlineStr">
        <is>
          <t>Familienzulage</t>
        </is>
      </c>
      <c r="G11" t="inlineStr">
        <is>
          <t>Einkommen / Familienzulage</t>
        </is>
      </c>
      <c r="H11" t="inlineStr">
        <is>
          <t>ALPENWERK AG INDUSTRIESTRASSE 12 CH-5430 WETTINGEN AG</t>
        </is>
      </c>
      <c r="I11" t="inlineStr">
        <is>
          <t>SALAER JANUAR 2025 | SALA00000000000000000000000000000001 9988776655/1XXXX 250125CH0EXMPL01</t>
        </is>
      </c>
      <c r="J11" s="5" t="n">
        <v>200</v>
      </c>
      <c r="K11" s="5" t="n">
        <v>0</v>
      </c>
      <c r="L11" s="5" t="n">
        <v>-200</v>
      </c>
      <c r="M11" t="inlineStr">
        <is>
          <t>income_1</t>
        </is>
      </c>
      <c r="N11" t="inlineStr">
        <is>
          <t>export.202501.categorized.csv</t>
        </is>
      </c>
    </row>
    <row r="12">
      <c r="A12" t="inlineStr">
        <is>
          <t>TX-000070.2</t>
        </is>
      </c>
      <c r="B12" s="11" t="n">
        <v>45682</v>
      </c>
      <c r="C12" t="inlineStr">
        <is>
          <t>2025-01</t>
        </is>
      </c>
      <c r="D12" t="inlineStr">
        <is>
          <t>Income</t>
        </is>
      </c>
      <c r="E12" t="inlineStr">
        <is>
          <t>Einkommen</t>
        </is>
      </c>
      <c r="F12" t="inlineStr">
        <is>
          <t>Lohn</t>
        </is>
      </c>
      <c r="G12" t="inlineStr">
        <is>
          <t>Einkommen / Lohn</t>
        </is>
      </c>
      <c r="H12" t="inlineStr">
        <is>
          <t>ALPENWERK AG INDUSTRIESTRASSE 12 CH-5430 WETTINGEN AG</t>
        </is>
      </c>
      <c r="I12" t="inlineStr">
        <is>
          <t>SALAER JANUAR 2025 | SALA00000000000000000000000000000001 9988776655/1XXXX 250125CH0EXMPL01</t>
        </is>
      </c>
      <c r="J12" s="5" t="n">
        <v>4000</v>
      </c>
      <c r="K12" s="5" t="n">
        <v>0</v>
      </c>
      <c r="L12" s="5" t="n">
        <v>-4000</v>
      </c>
      <c r="M12" t="inlineStr">
        <is>
          <t>income_1</t>
        </is>
      </c>
      <c r="N12" t="inlineStr">
        <is>
          <t>export.202501.categorized.csv</t>
        </is>
      </c>
    </row>
    <row r="13">
      <c r="A13" t="inlineStr">
        <is>
          <t>TX-000091</t>
        </is>
      </c>
      <c r="B13" s="11" t="n">
        <v>45683</v>
      </c>
      <c r="C13" t="inlineStr">
        <is>
          <t>2025-01</t>
        </is>
      </c>
      <c r="D13" t="inlineStr">
        <is>
          <t>Transfer</t>
        </is>
      </c>
      <c r="E13" t="inlineStr">
        <is>
          <t>Vorsorge</t>
        </is>
      </c>
      <c r="F13" t="inlineStr">
        <is>
          <t>Säule 3a</t>
        </is>
      </c>
      <c r="G13" t="inlineStr">
        <is>
          <t>Vorsorge / Säule 3a</t>
        </is>
      </c>
      <c r="H13" t="inlineStr">
        <is>
          <t>VORSORGESTIFTUNG MUSTERHAUSEN SENDER REFERENZ: SAEULE 3A</t>
        </is>
      </c>
      <c r="I13" t="inlineStr">
        <is>
          <t>90-11223344</t>
        </is>
      </c>
      <c r="J13" s="5" t="n">
        <v>0</v>
      </c>
      <c r="K13" s="5" t="n">
        <v>200</v>
      </c>
      <c r="L13" s="5" t="n">
        <v>200</v>
      </c>
      <c r="M13" t="inlineStr">
        <is>
          <t>savings_1</t>
        </is>
      </c>
      <c r="N13" t="inlineStr">
        <is>
          <t>export.202501.categorized.csv</t>
        </is>
      </c>
    </row>
    <row r="14">
      <c r="A14" t="inlineStr">
        <is>
          <t>TX-000075</t>
        </is>
      </c>
      <c r="B14" s="11" t="n">
        <v>45685</v>
      </c>
      <c r="C14" t="inlineStr">
        <is>
          <t>2025-01</t>
        </is>
      </c>
      <c r="D14" t="inlineStr">
        <is>
          <t>Expense</t>
        </is>
      </c>
      <c r="E14" t="inlineStr">
        <is>
          <t>Einkaufen</t>
        </is>
      </c>
      <c r="F14" t="inlineStr">
        <is>
          <t>Supermärkte</t>
        </is>
      </c>
      <c r="G14" t="inlineStr">
        <is>
          <t>Einkaufen / Supermärkte</t>
        </is>
      </c>
      <c r="H14" t="inlineStr">
        <is>
          <t>MIGROS MARKTHALLE (8812)</t>
        </is>
      </c>
      <c r="J14" s="5" t="n">
        <v>0</v>
      </c>
      <c r="K14" s="5" t="n">
        <v>96.40000000000001</v>
      </c>
      <c r="L14" s="5" t="n">
        <v>96.40000000000001</v>
      </c>
      <c r="M14" t="inlineStr">
        <is>
          <t>supermarket_1</t>
        </is>
      </c>
      <c r="N14" t="inlineStr">
        <is>
          <t>export.202501.categorized.csv</t>
        </is>
      </c>
    </row>
    <row r="15">
      <c r="A15" t="inlineStr">
        <is>
          <t>TX-000074</t>
        </is>
      </c>
      <c r="B15" s="11" t="n">
        <v>45688</v>
      </c>
      <c r="C15" t="inlineStr">
        <is>
          <t>2025-01</t>
        </is>
      </c>
      <c r="D15" t="inlineStr">
        <is>
          <t>Expense</t>
        </is>
      </c>
      <c r="E15" t="inlineStr">
        <is>
          <t>Wohnen</t>
        </is>
      </c>
      <c r="F15" t="inlineStr">
        <is>
          <t>Miete und Hypothek</t>
        </is>
      </c>
      <c r="G15" t="inlineStr">
        <is>
          <t>Wohnen / Miete und Hypothek</t>
        </is>
      </c>
      <c r="H15" t="inlineStr">
        <is>
          <t>FINANZVERWALTUNG STADT SOLOTHURN</t>
        </is>
      </c>
      <c r="I15" t="inlineStr">
        <is>
          <t>2025/02/01 / 7045128</t>
        </is>
      </c>
      <c r="J15" s="5" t="n">
        <v>0</v>
      </c>
      <c r="K15" s="5" t="n">
        <v>1774</v>
      </c>
      <c r="L15" s="5" t="n">
        <v>1774</v>
      </c>
      <c r="M15" t="inlineStr">
        <is>
          <t>housing_1</t>
        </is>
      </c>
      <c r="N15" t="inlineStr">
        <is>
          <t>export.202501.categorized.csv</t>
        </is>
      </c>
    </row>
    <row r="16">
      <c r="A16" t="inlineStr">
        <is>
          <t>TX-000083</t>
        </is>
      </c>
      <c r="B16" s="11" t="n">
        <v>45689</v>
      </c>
      <c r="C16" t="inlineStr">
        <is>
          <t>2025-02</t>
        </is>
      </c>
      <c r="D16" t="inlineStr">
        <is>
          <t>Expense</t>
        </is>
      </c>
      <c r="E16" t="inlineStr">
        <is>
          <t>Einkaufen</t>
        </is>
      </c>
      <c r="F16" t="inlineStr">
        <is>
          <t>Supermärkte</t>
        </is>
      </c>
      <c r="G16" t="inlineStr">
        <is>
          <t>Einkaufen / Supermärkte</t>
        </is>
      </c>
      <c r="H16" t="inlineStr">
        <is>
          <t>MIGROS M RIVERSIDE (7741)</t>
        </is>
      </c>
      <c r="J16" s="5" t="n">
        <v>0</v>
      </c>
      <c r="K16" s="5" t="n">
        <v>63.75</v>
      </c>
      <c r="L16" s="5" t="n">
        <v>63.75</v>
      </c>
      <c r="M16" t="inlineStr">
        <is>
          <t>supermarket_1</t>
        </is>
      </c>
      <c r="N16" t="inlineStr">
        <is>
          <t>export.202502.categorized.csv</t>
        </is>
      </c>
    </row>
    <row r="17">
      <c r="A17" t="inlineStr">
        <is>
          <t>TX-000082</t>
        </is>
      </c>
      <c r="B17" s="11" t="n">
        <v>45696</v>
      </c>
      <c r="C17" t="inlineStr">
        <is>
          <t>2025-02</t>
        </is>
      </c>
      <c r="D17" t="inlineStr">
        <is>
          <t>Expense</t>
        </is>
      </c>
      <c r="E17" t="inlineStr">
        <is>
          <t>Einkaufen</t>
        </is>
      </c>
      <c r="F17" t="inlineStr">
        <is>
          <t>Supermärkte</t>
        </is>
      </c>
      <c r="G17" t="inlineStr">
        <is>
          <t>Einkaufen / Supermärkte</t>
        </is>
      </c>
      <c r="H17" t="inlineStr">
        <is>
          <t>MIGROS MARKTHALLE (8812)</t>
        </is>
      </c>
      <c r="J17" s="5" t="n">
        <v>0</v>
      </c>
      <c r="K17" s="5" t="n">
        <v>127.4</v>
      </c>
      <c r="L17" s="5" t="n">
        <v>127.4</v>
      </c>
      <c r="M17" t="inlineStr">
        <is>
          <t>supermarket_1</t>
        </is>
      </c>
      <c r="N17" t="inlineStr">
        <is>
          <t>export.202502.categorized.csv</t>
        </is>
      </c>
    </row>
    <row r="18">
      <c r="A18" t="inlineStr">
        <is>
          <t>TX-000081</t>
        </is>
      </c>
      <c r="B18" s="11" t="n">
        <v>45702</v>
      </c>
      <c r="C18" t="inlineStr">
        <is>
          <t>2025-02</t>
        </is>
      </c>
      <c r="D18" t="inlineStr">
        <is>
          <t>Expense</t>
        </is>
      </c>
      <c r="E18" t="inlineStr">
        <is>
          <t>Einkaufen</t>
        </is>
      </c>
      <c r="F18" t="inlineStr">
        <is>
          <t>Supermärkte</t>
        </is>
      </c>
      <c r="G18" t="inlineStr">
        <is>
          <t>Einkaufen / Supermärkte</t>
        </is>
      </c>
      <c r="H18" t="inlineStr">
        <is>
          <t>COOP-5510 RIVERSIDE REST.</t>
        </is>
      </c>
      <c r="J18" s="5" t="n">
        <v>0</v>
      </c>
      <c r="K18" s="5" t="n">
        <v>88.95</v>
      </c>
      <c r="L18" s="5" t="n">
        <v>88.95</v>
      </c>
      <c r="M18" t="inlineStr">
        <is>
          <t>supermarket_1</t>
        </is>
      </c>
      <c r="N18" t="inlineStr">
        <is>
          <t>export.202502.categorized.csv</t>
        </is>
      </c>
    </row>
    <row r="19">
      <c r="A19" t="inlineStr">
        <is>
          <t>TX-000080</t>
        </is>
      </c>
      <c r="B19" s="11" t="n">
        <v>45710</v>
      </c>
      <c r="C19" t="inlineStr">
        <is>
          <t>2025-02</t>
        </is>
      </c>
      <c r="D19" t="inlineStr">
        <is>
          <t>Expense</t>
        </is>
      </c>
      <c r="E19" t="inlineStr">
        <is>
          <t>Einkaufen</t>
        </is>
      </c>
      <c r="F19" t="inlineStr">
        <is>
          <t>Supermärkte</t>
        </is>
      </c>
      <c r="G19" t="inlineStr">
        <is>
          <t>Einkaufen / Supermärkte</t>
        </is>
      </c>
      <c r="H19" t="inlineStr">
        <is>
          <t>MIGROS MARKTHALLE (8812)</t>
        </is>
      </c>
      <c r="J19" s="5" t="n">
        <v>0</v>
      </c>
      <c r="K19" s="5" t="n">
        <v>154.6</v>
      </c>
      <c r="L19" s="5" t="n">
        <v>154.6</v>
      </c>
      <c r="M19" t="inlineStr">
        <is>
          <t>supermarket_1</t>
        </is>
      </c>
      <c r="N19" t="inlineStr">
        <is>
          <t>export.202502.categorized.csv</t>
        </is>
      </c>
    </row>
    <row r="20">
      <c r="A20" t="inlineStr">
        <is>
          <t>TX-000071.1</t>
        </is>
      </c>
      <c r="B20" s="11" t="n">
        <v>45713</v>
      </c>
      <c r="C20" t="inlineStr">
        <is>
          <t>2025-02</t>
        </is>
      </c>
      <c r="D20" t="inlineStr">
        <is>
          <t>Income</t>
        </is>
      </c>
      <c r="E20" t="inlineStr">
        <is>
          <t>Einkommen</t>
        </is>
      </c>
      <c r="F20" t="inlineStr">
        <is>
          <t>Familienzulage</t>
        </is>
      </c>
      <c r="G20" t="inlineStr">
        <is>
          <t>Einkommen / Familienzulage</t>
        </is>
      </c>
      <c r="H20" t="inlineStr">
        <is>
          <t>ALPENWERK AG INDUSTRIESTRASSE 12 CH-5430 WETTINGEN AG</t>
        </is>
      </c>
      <c r="I20" t="inlineStr">
        <is>
          <t>SALAER FEBRUAR 2025 | SALA00000000000000000000000000000002 9988776655/1XXXX 250225CH0EXMPL02</t>
        </is>
      </c>
      <c r="J20" s="5" t="n">
        <v>200</v>
      </c>
      <c r="K20" s="5" t="n">
        <v>0</v>
      </c>
      <c r="L20" s="5" t="n">
        <v>-200</v>
      </c>
      <c r="M20" t="inlineStr">
        <is>
          <t>income_1</t>
        </is>
      </c>
      <c r="N20" t="inlineStr">
        <is>
          <t>export.202502.categorized.csv</t>
        </is>
      </c>
    </row>
    <row r="21">
      <c r="A21" t="inlineStr">
        <is>
          <t>TX-000071.2</t>
        </is>
      </c>
      <c r="B21" s="11" t="n">
        <v>45713</v>
      </c>
      <c r="C21" t="inlineStr">
        <is>
          <t>2025-02</t>
        </is>
      </c>
      <c r="D21" t="inlineStr">
        <is>
          <t>Income</t>
        </is>
      </c>
      <c r="E21" t="inlineStr">
        <is>
          <t>Einkommen</t>
        </is>
      </c>
      <c r="F21" t="inlineStr">
        <is>
          <t>Lohn</t>
        </is>
      </c>
      <c r="G21" t="inlineStr">
        <is>
          <t>Einkommen / Lohn</t>
        </is>
      </c>
      <c r="H21" t="inlineStr">
        <is>
          <t>ALPENWERK AG INDUSTRIESTRASSE 12 CH-5430 WETTINGEN AG</t>
        </is>
      </c>
      <c r="I21" t="inlineStr">
        <is>
          <t>SALAER FEBRUAR 2025 | SALA00000000000000000000000000000002 9988776655/1XXXX 250225CH0EXMPL02</t>
        </is>
      </c>
      <c r="J21" s="5" t="n">
        <v>4000</v>
      </c>
      <c r="K21" s="5" t="n">
        <v>0</v>
      </c>
      <c r="L21" s="5" t="n">
        <v>-4000</v>
      </c>
      <c r="M21" t="inlineStr">
        <is>
          <t>income_1</t>
        </is>
      </c>
      <c r="N21" t="inlineStr">
        <is>
          <t>export.202502.categorized.csv</t>
        </is>
      </c>
    </row>
    <row r="22">
      <c r="A22" t="inlineStr">
        <is>
          <t>TX-000071.3</t>
        </is>
      </c>
      <c r="B22" s="11" t="n">
        <v>45713</v>
      </c>
      <c r="C22" t="inlineStr">
        <is>
          <t>2025-02</t>
        </is>
      </c>
      <c r="D22" t="inlineStr">
        <is>
          <t>Refund</t>
        </is>
      </c>
      <c r="E22" t="inlineStr">
        <is>
          <t>Freizeit</t>
        </is>
      </c>
      <c r="F22" t="inlineStr">
        <is>
          <t>Reisen und Erleben</t>
        </is>
      </c>
      <c r="G22" t="inlineStr">
        <is>
          <t>Freizeit / Reisen und Erleben</t>
        </is>
      </c>
      <c r="H22" t="inlineStr">
        <is>
          <t>ALPENWERK AG INDUSTRIESTRASSE 12 CH-5430 WETTINGEN AG</t>
        </is>
      </c>
      <c r="I22" t="inlineStr">
        <is>
          <t>SALAER FEBRUAR 2025 | SALA00000000000000000000000000000002 9988776655/1XXXX 250225CH0EXMPL02</t>
        </is>
      </c>
      <c r="J22" s="5" t="n">
        <v>180</v>
      </c>
      <c r="K22" s="5" t="n">
        <v>0</v>
      </c>
      <c r="L22" s="5" t="n">
        <v>-180</v>
      </c>
      <c r="M22" t="inlineStr">
        <is>
          <t>income_1</t>
        </is>
      </c>
      <c r="N22" t="inlineStr">
        <is>
          <t>export.202502.categorized.csv</t>
        </is>
      </c>
    </row>
    <row r="23">
      <c r="A23" t="inlineStr">
        <is>
          <t>TX-000071.4</t>
        </is>
      </c>
      <c r="B23" s="11" t="n">
        <v>45713</v>
      </c>
      <c r="C23" t="inlineStr">
        <is>
          <t>2025-02</t>
        </is>
      </c>
      <c r="D23" t="inlineStr">
        <is>
          <t>Refund</t>
        </is>
      </c>
      <c r="E23" t="inlineStr">
        <is>
          <t>Mobilität</t>
        </is>
      </c>
      <c r="F23" t="inlineStr">
        <is>
          <t>Öffentlicher Verkehr</t>
        </is>
      </c>
      <c r="G23" t="inlineStr">
        <is>
          <t>Mobilität / Öffentlicher Verkehr</t>
        </is>
      </c>
      <c r="H23" t="inlineStr">
        <is>
          <t>ALPENWERK AG INDUSTRIESTRASSE 12 CH-5430 WETTINGEN AG</t>
        </is>
      </c>
      <c r="I23" t="inlineStr">
        <is>
          <t>SALAER FEBRUAR 2025 | SALA00000000000000000000000000000002 9988776655/1XXXX 250225CH0EXMPL02</t>
        </is>
      </c>
      <c r="J23" s="5" t="n">
        <v>48.4</v>
      </c>
      <c r="K23" s="5" t="n">
        <v>0</v>
      </c>
      <c r="L23" s="5" t="n">
        <v>-48.4</v>
      </c>
      <c r="M23" t="inlineStr">
        <is>
          <t>income_1</t>
        </is>
      </c>
      <c r="N23" t="inlineStr">
        <is>
          <t>export.202502.categorized.csv</t>
        </is>
      </c>
    </row>
    <row r="24">
      <c r="A24" t="inlineStr">
        <is>
          <t>TX-000092</t>
        </is>
      </c>
      <c r="B24" s="11" t="n">
        <v>45714</v>
      </c>
      <c r="C24" t="inlineStr">
        <is>
          <t>2025-02</t>
        </is>
      </c>
      <c r="D24" t="inlineStr">
        <is>
          <t>Transfer</t>
        </is>
      </c>
      <c r="E24" t="inlineStr">
        <is>
          <t>Vorsorge</t>
        </is>
      </c>
      <c r="F24" t="inlineStr">
        <is>
          <t>Säule 3a</t>
        </is>
      </c>
      <c r="G24" t="inlineStr">
        <is>
          <t>Vorsorge / Säule 3a</t>
        </is>
      </c>
      <c r="H24" t="inlineStr">
        <is>
          <t>VORSORGESTIFTUNG MUSTERHAUSEN SENDER REFERENZ: SAEULE 3A</t>
        </is>
      </c>
      <c r="I24" t="inlineStr">
        <is>
          <t>90-11223344</t>
        </is>
      </c>
      <c r="J24" s="5" t="n">
        <v>0</v>
      </c>
      <c r="K24" s="5" t="n">
        <v>200</v>
      </c>
      <c r="L24" s="5" t="n">
        <v>200</v>
      </c>
      <c r="M24" t="inlineStr">
        <is>
          <t>savings_1</t>
        </is>
      </c>
      <c r="N24" t="inlineStr">
        <is>
          <t>export.202502.categorized.csv</t>
        </is>
      </c>
    </row>
    <row r="25">
      <c r="A25" t="inlineStr">
        <is>
          <t>TX-000060</t>
        </is>
      </c>
      <c r="B25" s="11" t="n">
        <v>45715</v>
      </c>
      <c r="C25" t="inlineStr">
        <is>
          <t>2025-02</t>
        </is>
      </c>
      <c r="D25" t="inlineStr">
        <is>
          <t>Expense</t>
        </is>
      </c>
      <c r="E25" t="inlineStr">
        <is>
          <t>Freizeit</t>
        </is>
      </c>
      <c r="F25" t="inlineStr">
        <is>
          <t>Gastronomie</t>
        </is>
      </c>
      <c r="G25" t="inlineStr">
        <is>
          <t>Freizeit / Gastronomie</t>
        </is>
      </c>
      <c r="H25" t="inlineStr">
        <is>
          <t>MUSTER CAFE</t>
        </is>
      </c>
      <c r="J25" s="5" t="n">
        <v>0</v>
      </c>
      <c r="K25" s="5" t="n">
        <v>3</v>
      </c>
      <c r="L25" s="5" t="n">
        <v>3</v>
      </c>
      <c r="M25" t="inlineStr">
        <is>
          <t>gastronomy_6</t>
        </is>
      </c>
      <c r="N25" t="inlineStr">
        <is>
          <t>export.202502.categorized.csv</t>
        </is>
      </c>
    </row>
    <row r="26">
      <c r="A26" t="inlineStr">
        <is>
          <t>TX-000079</t>
        </is>
      </c>
      <c r="B26" s="11" t="n">
        <v>45716</v>
      </c>
      <c r="C26" t="inlineStr">
        <is>
          <t>2025-02</t>
        </is>
      </c>
      <c r="D26" t="inlineStr">
        <is>
          <t>Expense</t>
        </is>
      </c>
      <c r="E26" t="inlineStr">
        <is>
          <t>Wohnen</t>
        </is>
      </c>
      <c r="F26" t="inlineStr">
        <is>
          <t>Miete und Hypothek</t>
        </is>
      </c>
      <c r="G26" t="inlineStr">
        <is>
          <t>Wohnen / Miete und Hypothek</t>
        </is>
      </c>
      <c r="H26" t="inlineStr">
        <is>
          <t>FINANZVERWALTUNG STADT SOLOTHURN</t>
        </is>
      </c>
      <c r="I26" t="inlineStr">
        <is>
          <t>2025/03/01 / 7045128</t>
        </is>
      </c>
      <c r="J26" s="5" t="n">
        <v>0</v>
      </c>
      <c r="K26" s="5" t="n">
        <v>1774</v>
      </c>
      <c r="L26" s="5" t="n">
        <v>1774</v>
      </c>
      <c r="M26" t="inlineStr">
        <is>
          <t>housing_1</t>
        </is>
      </c>
      <c r="N26" t="inlineStr">
        <is>
          <t>export.202502.categorized.csv</t>
        </is>
      </c>
    </row>
    <row r="27">
      <c r="A27" t="inlineStr">
        <is>
          <t>TX-000054</t>
        </is>
      </c>
      <c r="B27" s="11" t="n">
        <v>45738</v>
      </c>
      <c r="C27" t="inlineStr">
        <is>
          <t>2025-03</t>
        </is>
      </c>
      <c r="D27" t="inlineStr">
        <is>
          <t>Expense</t>
        </is>
      </c>
      <c r="E27" t="inlineStr">
        <is>
          <t>Freizeit</t>
        </is>
      </c>
      <c r="F27" t="inlineStr">
        <is>
          <t>Gastronomie</t>
        </is>
      </c>
      <c r="G27" t="inlineStr">
        <is>
          <t>Freizeit / Gastronomie</t>
        </is>
      </c>
      <c r="H27" t="inlineStr">
        <is>
          <t>+41790000000 MAX MUSTER</t>
        </is>
      </c>
      <c r="I27" t="inlineStr">
        <is>
          <t>MITTEILUNGEN: ESSEN GESTERN ABEND</t>
        </is>
      </c>
      <c r="J27" s="5" t="n">
        <v>0</v>
      </c>
      <c r="K27" s="5" t="n">
        <v>20</v>
      </c>
      <c r="L27" s="5" t="n">
        <v>20</v>
      </c>
      <c r="M27" t="inlineStr">
        <is>
          <t>gastronomy_5</t>
        </is>
      </c>
      <c r="N27" t="inlineStr">
        <is>
          <t>export.202503.categorized.csv</t>
        </is>
      </c>
    </row>
    <row r="28">
      <c r="A28" t="inlineStr">
        <is>
          <t>TX-000055</t>
        </is>
      </c>
      <c r="B28" s="11" t="n">
        <v>45738</v>
      </c>
      <c r="C28" t="inlineStr">
        <is>
          <t>2025-03</t>
        </is>
      </c>
      <c r="E28" t="inlineStr">
        <is>
          <t>Uncategorized</t>
        </is>
      </c>
      <c r="G28" t="inlineStr">
        <is>
          <t>Uncategorized</t>
        </is>
      </c>
      <c r="H28" t="inlineStr">
        <is>
          <t>UNMATCHED TEST STORE</t>
        </is>
      </c>
      <c r="J28" s="5" t="n">
        <v>0</v>
      </c>
      <c r="K28" s="5" t="n">
        <v>12.4</v>
      </c>
      <c r="L28" s="5" t="n">
        <v>12.4</v>
      </c>
      <c r="M28" t="inlineStr">
        <is>
          <t>-</t>
        </is>
      </c>
      <c r="N28" t="inlineStr">
        <is>
          <t>export.202503.categorized.csv</t>
        </is>
      </c>
    </row>
    <row r="29">
      <c r="A29" t="inlineStr">
        <is>
          <t>TX-000051</t>
        </is>
      </c>
      <c r="B29" s="11" t="n">
        <v>45739</v>
      </c>
      <c r="C29" t="inlineStr">
        <is>
          <t>2025-03</t>
        </is>
      </c>
      <c r="D29" t="inlineStr">
        <is>
          <t>Expense</t>
        </is>
      </c>
      <c r="E29" t="inlineStr">
        <is>
          <t>Einkaufen</t>
        </is>
      </c>
      <c r="F29" t="inlineStr">
        <is>
          <t>Detail-Lebensmittel</t>
        </is>
      </c>
      <c r="G29" t="inlineStr">
        <is>
          <t>Einkaufen / Detail-Lebensmittel</t>
        </is>
      </c>
      <c r="H29" t="inlineStr">
        <is>
          <t>BÄCKEREI HUG</t>
        </is>
      </c>
      <c r="J29" s="5" t="n">
        <v>0</v>
      </c>
      <c r="K29" s="5" t="n">
        <v>17.3</v>
      </c>
      <c r="L29" s="5" t="n">
        <v>17.3</v>
      </c>
      <c r="M29" t="inlineStr">
        <is>
          <t>grocery_1</t>
        </is>
      </c>
      <c r="N29" t="inlineStr">
        <is>
          <t>export.202503.categorized.csv</t>
        </is>
      </c>
    </row>
    <row r="30">
      <c r="A30" t="inlineStr">
        <is>
          <t>TX-000052</t>
        </is>
      </c>
      <c r="B30" s="11" t="n">
        <v>45739</v>
      </c>
      <c r="C30" t="inlineStr">
        <is>
          <t>2025-03</t>
        </is>
      </c>
      <c r="D30" t="inlineStr">
        <is>
          <t>Expense</t>
        </is>
      </c>
      <c r="E30" t="inlineStr">
        <is>
          <t>Wohnen</t>
        </is>
      </c>
      <c r="F30" t="inlineStr">
        <is>
          <t>Haushalt</t>
        </is>
      </c>
      <c r="G30" t="inlineStr">
        <is>
          <t>Wohnen / Haushalt</t>
        </is>
      </c>
      <c r="H30" t="inlineStr">
        <is>
          <t>MANOR AG - 771 (CENTRA)</t>
        </is>
      </c>
      <c r="J30" s="5" t="n">
        <v>0</v>
      </c>
      <c r="K30" s="5" t="n">
        <v>23.95</v>
      </c>
      <c r="L30" s="5" t="n">
        <v>23.95</v>
      </c>
      <c r="M30" t="inlineStr">
        <is>
          <t>home_2</t>
        </is>
      </c>
      <c r="N30" t="inlineStr">
        <is>
          <t>export.202503.categorized.csv</t>
        </is>
      </c>
    </row>
    <row r="31">
      <c r="A31" t="inlineStr">
        <is>
          <t>TX-000053</t>
        </is>
      </c>
      <c r="B31" s="11" t="n">
        <v>45739</v>
      </c>
      <c r="C31" t="inlineStr">
        <is>
          <t>2025-03</t>
        </is>
      </c>
      <c r="D31" t="inlineStr">
        <is>
          <t>Expense</t>
        </is>
      </c>
      <c r="E31" t="inlineStr">
        <is>
          <t>Freizeit</t>
        </is>
      </c>
      <c r="F31" t="inlineStr">
        <is>
          <t>Gastronomie</t>
        </is>
      </c>
      <c r="G31" t="inlineStr">
        <is>
          <t>Freizeit / Gastronomie</t>
        </is>
      </c>
      <c r="H31" t="inlineStr">
        <is>
          <t>+41796666222 KEBAB, IMBISS</t>
        </is>
      </c>
      <c r="J31" s="5" t="n">
        <v>0</v>
      </c>
      <c r="K31" s="5" t="n">
        <v>13.5</v>
      </c>
      <c r="L31" s="5" t="n">
        <v>13.5</v>
      </c>
      <c r="M31" t="inlineStr">
        <is>
          <t>gastronomy_4</t>
        </is>
      </c>
      <c r="N31" t="inlineStr">
        <is>
          <t>export.202503.categorized.csv</t>
        </is>
      </c>
    </row>
    <row r="32">
      <c r="A32" t="inlineStr">
        <is>
          <t>TX-000045</t>
        </is>
      </c>
      <c r="B32" s="11" t="n">
        <v>45740</v>
      </c>
      <c r="C32" t="inlineStr">
        <is>
          <t>2025-03</t>
        </is>
      </c>
      <c r="D32" t="inlineStr">
        <is>
          <t>Expense</t>
        </is>
      </c>
      <c r="E32" t="inlineStr">
        <is>
          <t>Einkaufen</t>
        </is>
      </c>
      <c r="F32" t="inlineStr">
        <is>
          <t>Detail-Lebensmittel</t>
        </is>
      </c>
      <c r="G32" t="inlineStr">
        <is>
          <t>Einkaufen / Detail-Lebensmittel</t>
        </is>
      </c>
      <c r="H32" t="inlineStr">
        <is>
          <t>WAKARA GMBH</t>
        </is>
      </c>
      <c r="J32" s="5" t="n">
        <v>0</v>
      </c>
      <c r="K32" s="5" t="n">
        <v>27.6</v>
      </c>
      <c r="L32" s="5" t="n">
        <v>27.6</v>
      </c>
      <c r="M32" t="inlineStr">
        <is>
          <t>grocery_2</t>
        </is>
      </c>
      <c r="N32" t="inlineStr">
        <is>
          <t>export.202503.categorized.csv</t>
        </is>
      </c>
    </row>
    <row r="33">
      <c r="A33" t="inlineStr">
        <is>
          <t>TX-000046</t>
        </is>
      </c>
      <c r="B33" s="11" t="n">
        <v>45740</v>
      </c>
      <c r="C33" t="inlineStr">
        <is>
          <t>2025-03</t>
        </is>
      </c>
      <c r="D33" t="inlineStr">
        <is>
          <t>Expense</t>
        </is>
      </c>
      <c r="E33" t="inlineStr">
        <is>
          <t>Leben</t>
        </is>
      </c>
      <c r="F33" t="inlineStr">
        <is>
          <t>Styling und Wellness</t>
        </is>
      </c>
      <c r="G33" t="inlineStr">
        <is>
          <t>Leben / Styling und Wellness</t>
        </is>
      </c>
      <c r="H33" t="inlineStr">
        <is>
          <t>THE BODY SHOP</t>
        </is>
      </c>
      <c r="J33" s="5" t="n">
        <v>0</v>
      </c>
      <c r="K33" s="5" t="n">
        <v>4.95</v>
      </c>
      <c r="L33" s="5" t="n">
        <v>4.95</v>
      </c>
      <c r="M33" t="inlineStr">
        <is>
          <t>wellness_1</t>
        </is>
      </c>
      <c r="N33" t="inlineStr">
        <is>
          <t>export.202503.categorized.csv</t>
        </is>
      </c>
    </row>
    <row r="34">
      <c r="A34" t="inlineStr">
        <is>
          <t>TX-000047</t>
        </is>
      </c>
      <c r="B34" s="11" t="n">
        <v>45740</v>
      </c>
      <c r="C34" t="inlineStr">
        <is>
          <t>2025-03</t>
        </is>
      </c>
      <c r="D34" t="inlineStr">
        <is>
          <t>Expense</t>
        </is>
      </c>
      <c r="E34" t="inlineStr">
        <is>
          <t>Einkaufen</t>
        </is>
      </c>
      <c r="F34" t="inlineStr">
        <is>
          <t>Supermärkte</t>
        </is>
      </c>
      <c r="G34" t="inlineStr">
        <is>
          <t>Einkaufen / Supermärkte</t>
        </is>
      </c>
      <c r="H34" t="inlineStr">
        <is>
          <t>COOP-5510 RIVERSIDE REST.</t>
        </is>
      </c>
      <c r="J34" s="5" t="n">
        <v>0</v>
      </c>
      <c r="K34" s="5" t="n">
        <v>44</v>
      </c>
      <c r="L34" s="5" t="n">
        <v>44</v>
      </c>
      <c r="M34" t="inlineStr">
        <is>
          <t>supermarket_1</t>
        </is>
      </c>
      <c r="N34" t="inlineStr">
        <is>
          <t>export.202503.categorized.csv</t>
        </is>
      </c>
    </row>
    <row r="35">
      <c r="A35" t="inlineStr">
        <is>
          <t>TX-000048.1</t>
        </is>
      </c>
      <c r="B35" s="11" t="n">
        <v>45740</v>
      </c>
      <c r="C35" t="inlineStr">
        <is>
          <t>2025-03</t>
        </is>
      </c>
      <c r="D35" t="inlineStr">
        <is>
          <t>Expense</t>
        </is>
      </c>
      <c r="E35" t="inlineStr">
        <is>
          <t>Wohnen</t>
        </is>
      </c>
      <c r="F35" t="inlineStr">
        <is>
          <t>Haushalt</t>
        </is>
      </c>
      <c r="G35" t="inlineStr">
        <is>
          <t>Wohnen / Haushalt</t>
        </is>
      </c>
      <c r="H35" t="inlineStr">
        <is>
          <t>MIGROS MARKTHALLE (8812)</t>
        </is>
      </c>
      <c r="J35" s="5" t="n">
        <v>0</v>
      </c>
      <c r="K35" s="5" t="n">
        <v>18.9</v>
      </c>
      <c r="L35" s="5" t="n">
        <v>18.9</v>
      </c>
      <c r="M35" t="inlineStr">
        <is>
          <t>supermarket_1</t>
        </is>
      </c>
      <c r="N35" t="inlineStr">
        <is>
          <t>export.202503.categorized.csv</t>
        </is>
      </c>
    </row>
    <row r="36">
      <c r="A36" t="inlineStr">
        <is>
          <t>TX-000048.2</t>
        </is>
      </c>
      <c r="B36" s="11" t="n">
        <v>45740</v>
      </c>
      <c r="C36" t="inlineStr">
        <is>
          <t>2025-03</t>
        </is>
      </c>
      <c r="D36" t="inlineStr">
        <is>
          <t>Expense</t>
        </is>
      </c>
      <c r="E36" t="inlineStr">
        <is>
          <t>Einkaufen</t>
        </is>
      </c>
      <c r="F36" t="inlineStr">
        <is>
          <t>Supermärkte</t>
        </is>
      </c>
      <c r="G36" t="inlineStr">
        <is>
          <t>Einkaufen / Supermärkte</t>
        </is>
      </c>
      <c r="H36" t="inlineStr">
        <is>
          <t>MIGROS MARKTHALLE (8812)</t>
        </is>
      </c>
      <c r="J36" s="5" t="n">
        <v>0</v>
      </c>
      <c r="K36" s="5" t="n">
        <v>34.6</v>
      </c>
      <c r="L36" s="5" t="n">
        <v>34.6</v>
      </c>
      <c r="M36" t="inlineStr">
        <is>
          <t>supermarket_1</t>
        </is>
      </c>
      <c r="N36" t="inlineStr">
        <is>
          <t>export.202503.categorized.csv</t>
        </is>
      </c>
    </row>
    <row r="37">
      <c r="A37" t="inlineStr">
        <is>
          <t>TX-000049</t>
        </is>
      </c>
      <c r="B37" s="11" t="n">
        <v>45740</v>
      </c>
      <c r="C37" t="inlineStr">
        <is>
          <t>2025-03</t>
        </is>
      </c>
      <c r="D37" t="inlineStr">
        <is>
          <t>Expense</t>
        </is>
      </c>
      <c r="E37" t="inlineStr">
        <is>
          <t>Freizeit</t>
        </is>
      </c>
      <c r="F37" t="inlineStr">
        <is>
          <t>Gastronomie</t>
        </is>
      </c>
      <c r="G37" t="inlineStr">
        <is>
          <t>Freizeit / Gastronomie</t>
        </is>
      </c>
      <c r="H37" t="inlineStr">
        <is>
          <t>MIGROS CITY TAKE AWAY (6624)</t>
        </is>
      </c>
      <c r="J37" s="5" t="n">
        <v>0</v>
      </c>
      <c r="K37" s="5" t="n">
        <v>6.8</v>
      </c>
      <c r="L37" s="5" t="n">
        <v>6.8</v>
      </c>
      <c r="M37" t="inlineStr">
        <is>
          <t>gastronomy_1</t>
        </is>
      </c>
      <c r="N37" t="inlineStr">
        <is>
          <t>export.202503.categorized.csv</t>
        </is>
      </c>
    </row>
    <row r="38">
      <c r="A38" t="inlineStr">
        <is>
          <t>TX-000050</t>
        </is>
      </c>
      <c r="B38" s="11" t="n">
        <v>45740</v>
      </c>
      <c r="C38" t="inlineStr">
        <is>
          <t>2025-03</t>
        </is>
      </c>
      <c r="D38" t="inlineStr">
        <is>
          <t>Expense</t>
        </is>
      </c>
      <c r="E38" t="inlineStr">
        <is>
          <t>Leben</t>
        </is>
      </c>
      <c r="F38" t="inlineStr">
        <is>
          <t>Krankenkasse</t>
        </is>
      </c>
      <c r="G38" t="inlineStr">
        <is>
          <t>Leben / Krankenkasse</t>
        </is>
      </c>
      <c r="H38" t="inlineStr">
        <is>
          <t>MEDICURA PLUS AG GESUNDHEITSWEG 8 4052 BASEL</t>
        </is>
      </c>
      <c r="J38" s="5" t="n">
        <v>0</v>
      </c>
      <c r="K38" s="5" t="n">
        <v>77.45</v>
      </c>
      <c r="L38" s="5" t="n">
        <v>77.45</v>
      </c>
      <c r="M38" t="inlineStr">
        <is>
          <t>health_2</t>
        </is>
      </c>
      <c r="N38" t="inlineStr">
        <is>
          <t>export.202503.categorized.csv</t>
        </is>
      </c>
    </row>
    <row r="39">
      <c r="A39" t="inlineStr">
        <is>
          <t>TX-000039</t>
        </is>
      </c>
      <c r="B39" s="11" t="n">
        <v>45741</v>
      </c>
      <c r="C39" t="inlineStr">
        <is>
          <t>2025-03</t>
        </is>
      </c>
      <c r="D39" t="inlineStr">
        <is>
          <t>Expense</t>
        </is>
      </c>
      <c r="E39" t="inlineStr">
        <is>
          <t>Einkaufen</t>
        </is>
      </c>
      <c r="F39" t="inlineStr">
        <is>
          <t>Detail-Lebensmittel</t>
        </is>
      </c>
      <c r="G39" t="inlineStr">
        <is>
          <t>Einkaufen / Detail-Lebensmittel</t>
        </is>
      </c>
      <c r="H39" t="inlineStr">
        <is>
          <t>BÄCKEREI HUG</t>
        </is>
      </c>
      <c r="J39" s="5" t="n">
        <v>0</v>
      </c>
      <c r="K39" s="5" t="n">
        <v>6.1</v>
      </c>
      <c r="L39" s="5" t="n">
        <v>6.1</v>
      </c>
      <c r="M39" t="inlineStr">
        <is>
          <t>grocery_1</t>
        </is>
      </c>
      <c r="N39" t="inlineStr">
        <is>
          <t>export.202503.categorized.csv</t>
        </is>
      </c>
    </row>
    <row r="40">
      <c r="A40" t="inlineStr">
        <is>
          <t>TX-000040</t>
        </is>
      </c>
      <c r="B40" s="11" t="n">
        <v>45741</v>
      </c>
      <c r="C40" t="inlineStr">
        <is>
          <t>2025-03</t>
        </is>
      </c>
      <c r="D40" t="inlineStr">
        <is>
          <t>Expense</t>
        </is>
      </c>
      <c r="E40" t="inlineStr">
        <is>
          <t>Einkaufen</t>
        </is>
      </c>
      <c r="F40" t="inlineStr">
        <is>
          <t>Detail-Lebensmittel</t>
        </is>
      </c>
      <c r="G40" t="inlineStr">
        <is>
          <t>Einkaufen / Detail-Lebensmittel</t>
        </is>
      </c>
      <c r="H40" t="inlineStr">
        <is>
          <t>BRANKOVIC BREZELSTUBE</t>
        </is>
      </c>
      <c r="J40" s="5" t="n">
        <v>0</v>
      </c>
      <c r="K40" s="5" t="n">
        <v>4.3</v>
      </c>
      <c r="L40" s="5" t="n">
        <v>4.3</v>
      </c>
      <c r="M40" t="inlineStr">
        <is>
          <t>grocery_1</t>
        </is>
      </c>
      <c r="N40" t="inlineStr">
        <is>
          <t>export.202503.categorized.csv</t>
        </is>
      </c>
    </row>
    <row r="41">
      <c r="A41" t="inlineStr">
        <is>
          <t>TX-000041</t>
        </is>
      </c>
      <c r="B41" s="11" t="n">
        <v>45741</v>
      </c>
      <c r="C41" t="inlineStr">
        <is>
          <t>2025-03</t>
        </is>
      </c>
      <c r="D41" t="inlineStr">
        <is>
          <t>Expense</t>
        </is>
      </c>
      <c r="E41" t="inlineStr">
        <is>
          <t>Einkaufen</t>
        </is>
      </c>
      <c r="F41" t="inlineStr">
        <is>
          <t>Supermärkte</t>
        </is>
      </c>
      <c r="G41" t="inlineStr">
        <is>
          <t>Einkaufen / Supermärkte</t>
        </is>
      </c>
      <c r="H41" t="inlineStr">
        <is>
          <t>MIGROS M RIVERSIDE (7741)</t>
        </is>
      </c>
      <c r="J41" s="5" t="n">
        <v>0</v>
      </c>
      <c r="K41" s="5" t="n">
        <v>10.35</v>
      </c>
      <c r="L41" s="5" t="n">
        <v>10.35</v>
      </c>
      <c r="M41" t="inlineStr">
        <is>
          <t>supermarket_1</t>
        </is>
      </c>
      <c r="N41" t="inlineStr">
        <is>
          <t>export.202503.categorized.csv</t>
        </is>
      </c>
    </row>
    <row r="42">
      <c r="A42" t="inlineStr">
        <is>
          <t>TX-000043</t>
        </is>
      </c>
      <c r="B42" s="11" t="n">
        <v>45741</v>
      </c>
      <c r="C42" t="inlineStr">
        <is>
          <t>2025-03</t>
        </is>
      </c>
      <c r="D42" t="inlineStr">
        <is>
          <t>Refund</t>
        </is>
      </c>
      <c r="E42" t="inlineStr">
        <is>
          <t>Leben</t>
        </is>
      </c>
      <c r="F42" t="inlineStr">
        <is>
          <t>Krankenkasse</t>
        </is>
      </c>
      <c r="G42" t="inlineStr">
        <is>
          <t>Leben / Krankenkasse</t>
        </is>
      </c>
      <c r="H42" t="inlineStr">
        <is>
          <t>MEDICURA PLUS AG GESUNDHEITSWEG 8 4052 BASEL</t>
        </is>
      </c>
      <c r="I42" t="inlineStr">
        <is>
          <t>LEISTUNGSABRECHNUNG NR.: 700112233445566 VERSICHERTE PERSON 445566 BETRIFFT LEISTUNGEN | MED95CB11F8253446278F81749F26F10588</t>
        </is>
      </c>
      <c r="J42" s="5" t="n">
        <v>1787.95</v>
      </c>
      <c r="K42" s="5" t="n">
        <v>0</v>
      </c>
      <c r="L42" s="5" t="n">
        <v>-1787.95</v>
      </c>
      <c r="M42" t="inlineStr">
        <is>
          <t>refund_2</t>
        </is>
      </c>
      <c r="N42" t="inlineStr">
        <is>
          <t>export.202503.categorized.csv</t>
        </is>
      </c>
    </row>
    <row r="43">
      <c r="A43" t="inlineStr">
        <is>
          <t>TX-000044</t>
        </is>
      </c>
      <c r="B43" s="11" t="n">
        <v>45741</v>
      </c>
      <c r="C43" t="inlineStr">
        <is>
          <t>2025-03</t>
        </is>
      </c>
      <c r="D43" t="inlineStr">
        <is>
          <t>Expense</t>
        </is>
      </c>
      <c r="E43" t="inlineStr">
        <is>
          <t>Wohnen</t>
        </is>
      </c>
      <c r="F43" t="inlineStr">
        <is>
          <t>Kommunikation</t>
        </is>
      </c>
      <c r="G43" t="inlineStr">
        <is>
          <t>Wohnen / Kommunikation</t>
        </is>
      </c>
      <c r="H43" t="inlineStr">
        <is>
          <t>CLOUDSERVICE INC SAN</t>
        </is>
      </c>
      <c r="J43" s="5" t="n">
        <v>0</v>
      </c>
      <c r="K43" s="5" t="n">
        <v>18.67</v>
      </c>
      <c r="L43" s="5" t="n">
        <v>18.67</v>
      </c>
      <c r="M43" t="inlineStr">
        <is>
          <t>communication_3</t>
        </is>
      </c>
      <c r="N43" t="inlineStr">
        <is>
          <t>export.202503.categorized.csv</t>
        </is>
      </c>
    </row>
    <row r="44">
      <c r="A44" t="inlineStr">
        <is>
          <t>TX-000058</t>
        </is>
      </c>
      <c r="B44" s="11" t="n">
        <v>45741</v>
      </c>
      <c r="C44" t="inlineStr">
        <is>
          <t>2025-03</t>
        </is>
      </c>
      <c r="D44" t="inlineStr">
        <is>
          <t>Transfer</t>
        </is>
      </c>
      <c r="E44" t="inlineStr">
        <is>
          <t>Überträge</t>
        </is>
      </c>
      <c r="F44" t="inlineStr">
        <is>
          <t>Account Transfer</t>
        </is>
      </c>
      <c r="G44" t="inlineStr">
        <is>
          <t>Überträge / Account Transfer</t>
        </is>
      </c>
      <c r="H44" t="inlineStr">
        <is>
          <t>EIGENES SPARKONTO KONTOUEBERTRAG TRANSFER-20250325</t>
        </is>
      </c>
      <c r="I44" t="inlineStr">
        <is>
          <t>EIGENES SPARKONTO KONTOUEBERTRAG TRANSFER-20250325</t>
        </is>
      </c>
      <c r="J44" s="5" t="n">
        <v>450</v>
      </c>
      <c r="K44" s="5" t="n">
        <v>0</v>
      </c>
      <c r="L44" s="5" t="n">
        <v>-450</v>
      </c>
      <c r="M44" t="inlineStr">
        <is>
          <t>transfer_1</t>
        </is>
      </c>
      <c r="N44" t="inlineStr">
        <is>
          <t>export.202503.categorized.csv</t>
        </is>
      </c>
    </row>
    <row r="45">
      <c r="A45" t="inlineStr">
        <is>
          <t>TX-000072</t>
        </is>
      </c>
      <c r="B45" s="11" t="n">
        <v>45741</v>
      </c>
      <c r="C45" t="inlineStr">
        <is>
          <t>2025-03</t>
        </is>
      </c>
      <c r="D45" t="inlineStr">
        <is>
          <t>Income</t>
        </is>
      </c>
      <c r="E45" t="inlineStr">
        <is>
          <t>Einkommen</t>
        </is>
      </c>
      <c r="F45" t="inlineStr">
        <is>
          <t>Bonus</t>
        </is>
      </c>
      <c r="G45" t="inlineStr">
        <is>
          <t>Einkommen / Bonus</t>
        </is>
      </c>
      <c r="H45" t="inlineStr">
        <is>
          <t>ALPENWERK AG INDUSTRIESTRASSE 12 CH-5430 WETTINGEN AG</t>
        </is>
      </c>
      <c r="I45" t="inlineStr">
        <is>
          <t>SALAER BONUS 2024 | SALA00000000000000000000000000000003 9988776655/1XXXX 250325CH0EXMPL03</t>
        </is>
      </c>
      <c r="J45" s="5" t="n">
        <v>1500</v>
      </c>
      <c r="K45" s="5" t="n">
        <v>0</v>
      </c>
      <c r="L45" s="5" t="n">
        <v>-1500</v>
      </c>
      <c r="M45" t="inlineStr">
        <is>
          <t>income_2</t>
        </is>
      </c>
      <c r="N45" t="inlineStr">
        <is>
          <t>export.202503.categorized.csv</t>
        </is>
      </c>
    </row>
    <row r="46">
      <c r="A46" t="inlineStr">
        <is>
          <t>TX-000073.1</t>
        </is>
      </c>
      <c r="B46" s="11" t="n">
        <v>45741</v>
      </c>
      <c r="C46" t="inlineStr">
        <is>
          <t>2025-03</t>
        </is>
      </c>
      <c r="D46" t="inlineStr">
        <is>
          <t>Income</t>
        </is>
      </c>
      <c r="E46" t="inlineStr">
        <is>
          <t>Einkommen</t>
        </is>
      </c>
      <c r="F46" t="inlineStr">
        <is>
          <t>Familienzulage</t>
        </is>
      </c>
      <c r="G46" t="inlineStr">
        <is>
          <t>Einkommen / Familienzulage</t>
        </is>
      </c>
      <c r="H46" t="inlineStr">
        <is>
          <t>ALPENWERK AG INDUSTRIESTRASSE 12 CH-5430 WETTINGEN AG</t>
        </is>
      </c>
      <c r="I46" t="inlineStr">
        <is>
          <t>SALAER MAERZ 2025 | SALA80E5ED528784F48B451A4175649C112 9988776655/1XXXX 250325CH7LMNQRTS</t>
        </is>
      </c>
      <c r="J46" s="5" t="n">
        <v>200</v>
      </c>
      <c r="K46" s="5" t="n">
        <v>0</v>
      </c>
      <c r="L46" s="5" t="n">
        <v>-200</v>
      </c>
      <c r="M46" t="inlineStr">
        <is>
          <t>income_1</t>
        </is>
      </c>
      <c r="N46" t="inlineStr">
        <is>
          <t>export.202503.categorized.csv</t>
        </is>
      </c>
    </row>
    <row r="47">
      <c r="A47" t="inlineStr">
        <is>
          <t>TX-000073.2</t>
        </is>
      </c>
      <c r="B47" s="11" t="n">
        <v>45741</v>
      </c>
      <c r="C47" t="inlineStr">
        <is>
          <t>2025-03</t>
        </is>
      </c>
      <c r="D47" t="inlineStr">
        <is>
          <t>Income</t>
        </is>
      </c>
      <c r="E47" t="inlineStr">
        <is>
          <t>Einkommen</t>
        </is>
      </c>
      <c r="F47" t="inlineStr">
        <is>
          <t>Lohn</t>
        </is>
      </c>
      <c r="G47" t="inlineStr">
        <is>
          <t>Einkommen / Lohn</t>
        </is>
      </c>
      <c r="H47" t="inlineStr">
        <is>
          <t>ALPENWERK AG INDUSTRIESTRASSE 12 CH-5430 WETTINGEN AG</t>
        </is>
      </c>
      <c r="I47" t="inlineStr">
        <is>
          <t>SALAER MAERZ 2025 | SALA80E5ED528784F48B451A4175649C112 9988776655/1XXXX 250325CH7LMNQRTS</t>
        </is>
      </c>
      <c r="J47" s="5" t="n">
        <v>4000</v>
      </c>
      <c r="K47" s="5" t="n">
        <v>0</v>
      </c>
      <c r="L47" s="5" t="n">
        <v>-4000</v>
      </c>
      <c r="M47" t="inlineStr">
        <is>
          <t>income_1</t>
        </is>
      </c>
      <c r="N47" t="inlineStr">
        <is>
          <t>export.202503.categorized.csv</t>
        </is>
      </c>
    </row>
    <row r="48">
      <c r="A48" t="inlineStr">
        <is>
          <t>TX-000073.3</t>
        </is>
      </c>
      <c r="B48" s="11" t="n">
        <v>45741</v>
      </c>
      <c r="C48" t="inlineStr">
        <is>
          <t>2025-03</t>
        </is>
      </c>
      <c r="D48" t="inlineStr">
        <is>
          <t>Refund</t>
        </is>
      </c>
      <c r="E48" t="inlineStr">
        <is>
          <t>Mobilität</t>
        </is>
      </c>
      <c r="F48" t="inlineStr">
        <is>
          <t>Öffentlicher Verkehr</t>
        </is>
      </c>
      <c r="G48" t="inlineStr">
        <is>
          <t>Mobilität / Öffentlicher Verkehr</t>
        </is>
      </c>
      <c r="H48" t="inlineStr">
        <is>
          <t>ALPENWERK AG INDUSTRIESTRASSE 12 CH-5430 WETTINGEN AG</t>
        </is>
      </c>
      <c r="I48" t="inlineStr">
        <is>
          <t>SALAER MAERZ 2025 | SALA80E5ED528784F48B451A4175649C112 9988776655/1XXXX 250325CH7LMNQRTS</t>
        </is>
      </c>
      <c r="J48" s="5" t="n">
        <v>96.90000000000001</v>
      </c>
      <c r="K48" s="5" t="n">
        <v>0</v>
      </c>
      <c r="L48" s="5" t="n">
        <v>-96.90000000000001</v>
      </c>
      <c r="M48" t="inlineStr">
        <is>
          <t>income_1</t>
        </is>
      </c>
      <c r="N48" t="inlineStr">
        <is>
          <t>export.202503.categorized.csv</t>
        </is>
      </c>
    </row>
    <row r="49">
      <c r="A49" t="inlineStr">
        <is>
          <t>TX-000035</t>
        </is>
      </c>
      <c r="B49" s="11" t="n">
        <v>45742</v>
      </c>
      <c r="C49" t="inlineStr">
        <is>
          <t>2025-03</t>
        </is>
      </c>
      <c r="D49" t="inlineStr">
        <is>
          <t>Expense</t>
        </is>
      </c>
      <c r="E49" t="inlineStr">
        <is>
          <t>Mobilität</t>
        </is>
      </c>
      <c r="F49" t="inlineStr">
        <is>
          <t>Öffentlicher Verkehr</t>
        </is>
      </c>
      <c r="G49" t="inlineStr">
        <is>
          <t>Mobilität / Öffentlicher Verkehr</t>
        </is>
      </c>
      <c r="H49" t="inlineStr">
        <is>
          <t>TRANSPORTS PUBLICS FRIBOURGEOIS (FAIRTIQ) N/A PAYMENT ID 250326064915818975ZX BESTELLNUMMER</t>
        </is>
      </c>
      <c r="J49" s="5" t="n">
        <v>0</v>
      </c>
      <c r="K49" s="5" t="n">
        <v>62.6</v>
      </c>
      <c r="L49" s="5" t="n">
        <v>62.6</v>
      </c>
      <c r="M49" t="inlineStr">
        <is>
          <t>transport_1</t>
        </is>
      </c>
      <c r="N49" t="inlineStr">
        <is>
          <t>export.202503.categorized.csv</t>
        </is>
      </c>
    </row>
    <row r="50">
      <c r="A50" t="inlineStr">
        <is>
          <t>TX-000036</t>
        </is>
      </c>
      <c r="B50" s="11" t="n">
        <v>45742</v>
      </c>
      <c r="C50" t="inlineStr">
        <is>
          <t>2025-03</t>
        </is>
      </c>
      <c r="D50" t="inlineStr">
        <is>
          <t>Expense</t>
        </is>
      </c>
      <c r="E50" t="inlineStr">
        <is>
          <t>Wohnen</t>
        </is>
      </c>
      <c r="F50" t="inlineStr">
        <is>
          <t>Handwerk und Garten</t>
        </is>
      </c>
      <c r="G50" t="inlineStr">
        <is>
          <t>Wohnen / Handwerk und Garten</t>
        </is>
      </c>
      <c r="H50" t="inlineStr">
        <is>
          <t>JUMBO-7782 INDUSTRIEPARK</t>
        </is>
      </c>
      <c r="J50" s="5" t="n">
        <v>0</v>
      </c>
      <c r="K50" s="5" t="n">
        <v>10.9</v>
      </c>
      <c r="L50" s="5" t="n">
        <v>10.9</v>
      </c>
      <c r="M50" t="inlineStr">
        <is>
          <t>home_1</t>
        </is>
      </c>
      <c r="N50" t="inlineStr">
        <is>
          <t>export.202503.categorized.csv</t>
        </is>
      </c>
    </row>
    <row r="51">
      <c r="A51" t="inlineStr">
        <is>
          <t>TX-000037</t>
        </is>
      </c>
      <c r="B51" s="11" t="n">
        <v>45742</v>
      </c>
      <c r="C51" t="inlineStr">
        <is>
          <t>2025-03</t>
        </is>
      </c>
      <c r="D51" t="inlineStr">
        <is>
          <t>Expense</t>
        </is>
      </c>
      <c r="E51" t="inlineStr">
        <is>
          <t>Freizeit</t>
        </is>
      </c>
      <c r="F51" t="inlineStr">
        <is>
          <t>Gastronomie</t>
        </is>
      </c>
      <c r="G51" t="inlineStr">
        <is>
          <t>Freizeit / Gastronomie</t>
        </is>
      </c>
      <c r="H51" t="inlineStr">
        <is>
          <t>+41796666222 KEBAB, IMBISS</t>
        </is>
      </c>
      <c r="I51" t="inlineStr">
        <is>
          <t>MITTEILUNGEN: KEBAB</t>
        </is>
      </c>
      <c r="J51" s="5" t="n">
        <v>0</v>
      </c>
      <c r="K51" s="5" t="n">
        <v>14</v>
      </c>
      <c r="L51" s="5" t="n">
        <v>14</v>
      </c>
      <c r="M51" t="inlineStr">
        <is>
          <t>gastronomy_4</t>
        </is>
      </c>
      <c r="N51" t="inlineStr">
        <is>
          <t>export.202503.categorized.csv</t>
        </is>
      </c>
    </row>
    <row r="52">
      <c r="A52" t="inlineStr">
        <is>
          <t>TX-000038</t>
        </is>
      </c>
      <c r="B52" s="11" t="n">
        <v>45742</v>
      </c>
      <c r="C52" t="inlineStr">
        <is>
          <t>2025-03</t>
        </is>
      </c>
      <c r="D52" t="inlineStr">
        <is>
          <t>Expense</t>
        </is>
      </c>
      <c r="E52" t="inlineStr">
        <is>
          <t>Leben</t>
        </is>
      </c>
      <c r="F52" t="inlineStr">
        <is>
          <t>Familie</t>
        </is>
      </c>
      <c r="G52" t="inlineStr">
        <is>
          <t>Leben / Familie</t>
        </is>
      </c>
      <c r="H52" t="inlineStr">
        <is>
          <t>FAMILIENKASSE MUSTERHAUSEN SENDER REFERENZ: FAMILIENZULAGE</t>
        </is>
      </c>
      <c r="I52" t="inlineStr">
        <is>
          <t>90-33445566</t>
        </is>
      </c>
      <c r="J52" s="5" t="n">
        <v>0</v>
      </c>
      <c r="K52" s="5" t="n">
        <v>200</v>
      </c>
      <c r="L52" s="5" t="n">
        <v>200</v>
      </c>
      <c r="M52" t="inlineStr">
        <is>
          <t>family_1</t>
        </is>
      </c>
      <c r="N52" t="inlineStr">
        <is>
          <t>export.202503.categorized.csv</t>
        </is>
      </c>
    </row>
    <row r="53">
      <c r="A53" t="inlineStr">
        <is>
          <t>TX-000093</t>
        </is>
      </c>
      <c r="B53" s="11" t="n">
        <v>45742</v>
      </c>
      <c r="C53" t="inlineStr">
        <is>
          <t>2025-03</t>
        </is>
      </c>
      <c r="D53" t="inlineStr">
        <is>
          <t>Transfer</t>
        </is>
      </c>
      <c r="E53" t="inlineStr">
        <is>
          <t>Vorsorge</t>
        </is>
      </c>
      <c r="F53" t="inlineStr">
        <is>
          <t>Säule 3a</t>
        </is>
      </c>
      <c r="G53" t="inlineStr">
        <is>
          <t>Vorsorge / Säule 3a</t>
        </is>
      </c>
      <c r="H53" t="inlineStr">
        <is>
          <t>VORSORGESTIFTUNG MUSTERHAUSEN SENDER REFERENZ: SAEULE 3A</t>
        </is>
      </c>
      <c r="I53" t="inlineStr">
        <is>
          <t>90-11223344</t>
        </is>
      </c>
      <c r="J53" s="5" t="n">
        <v>0</v>
      </c>
      <c r="K53" s="5" t="n">
        <v>200</v>
      </c>
      <c r="L53" s="5" t="n">
        <v>200</v>
      </c>
      <c r="M53" t="inlineStr">
        <is>
          <t>savings_1</t>
        </is>
      </c>
      <c r="N53" t="inlineStr">
        <is>
          <t>export.202503.categorized.csv</t>
        </is>
      </c>
    </row>
    <row r="54">
      <c r="A54" t="inlineStr">
        <is>
          <t>TX-000024</t>
        </is>
      </c>
      <c r="B54" s="11" t="n">
        <v>45743</v>
      </c>
      <c r="C54" t="inlineStr">
        <is>
          <t>2025-03</t>
        </is>
      </c>
      <c r="D54" t="inlineStr">
        <is>
          <t>Expense</t>
        </is>
      </c>
      <c r="E54" t="inlineStr">
        <is>
          <t>Wohnen</t>
        </is>
      </c>
      <c r="F54" t="inlineStr">
        <is>
          <t>Kommunikation</t>
        </is>
      </c>
      <c r="G54" t="inlineStr">
        <is>
          <t>Wohnen / Kommunikation</t>
        </is>
      </c>
      <c r="H54" t="inlineStr">
        <is>
          <t>APPLE.COM/BILL</t>
        </is>
      </c>
      <c r="J54" s="5" t="n">
        <v>0</v>
      </c>
      <c r="K54" s="5" t="n">
        <v>2</v>
      </c>
      <c r="L54" s="5" t="n">
        <v>2</v>
      </c>
      <c r="M54" t="inlineStr">
        <is>
          <t>communication_2</t>
        </is>
      </c>
      <c r="N54" t="inlineStr">
        <is>
          <t>export.202503.categorized.csv</t>
        </is>
      </c>
    </row>
    <row r="55">
      <c r="A55" t="inlineStr">
        <is>
          <t>TX-000025</t>
        </is>
      </c>
      <c r="B55" s="11" t="n">
        <v>45743</v>
      </c>
      <c r="C55" t="inlineStr">
        <is>
          <t>2025-03</t>
        </is>
      </c>
      <c r="D55" t="inlineStr">
        <is>
          <t>Expense</t>
        </is>
      </c>
      <c r="E55" t="inlineStr">
        <is>
          <t>Freizeit</t>
        </is>
      </c>
      <c r="F55" t="inlineStr">
        <is>
          <t>Gastronomie</t>
        </is>
      </c>
      <c r="G55" t="inlineStr">
        <is>
          <t>Freizeit / Gastronomie</t>
        </is>
      </c>
      <c r="H55" t="inlineStr">
        <is>
          <t>YOOJI'S ROSENGARTEN</t>
        </is>
      </c>
      <c r="J55" s="5" t="n">
        <v>0</v>
      </c>
      <c r="K55" s="5" t="n">
        <v>6.9</v>
      </c>
      <c r="L55" s="5" t="n">
        <v>6.9</v>
      </c>
      <c r="M55" t="inlineStr">
        <is>
          <t>gastronomy_2</t>
        </is>
      </c>
      <c r="N55" t="inlineStr">
        <is>
          <t>export.202503.categorized.csv</t>
        </is>
      </c>
    </row>
    <row r="56">
      <c r="A56" t="inlineStr">
        <is>
          <t>TX-000026</t>
        </is>
      </c>
      <c r="B56" s="11" t="n">
        <v>45743</v>
      </c>
      <c r="C56" t="inlineStr">
        <is>
          <t>2025-03</t>
        </is>
      </c>
      <c r="D56" t="inlineStr">
        <is>
          <t>Expense</t>
        </is>
      </c>
      <c r="E56" t="inlineStr">
        <is>
          <t>Einkaufen</t>
        </is>
      </c>
      <c r="F56" t="inlineStr">
        <is>
          <t>Detail-Lebensmittel</t>
        </is>
      </c>
      <c r="G56" t="inlineStr">
        <is>
          <t>Einkaufen / Detail-Lebensmittel</t>
        </is>
      </c>
      <c r="H56" t="inlineStr">
        <is>
          <t>CONFISERIE SPRÜNGLI AG</t>
        </is>
      </c>
      <c r="J56" s="5" t="n">
        <v>0</v>
      </c>
      <c r="K56" s="5" t="n">
        <v>22.05</v>
      </c>
      <c r="L56" s="5" t="n">
        <v>22.05</v>
      </c>
      <c r="M56" t="inlineStr">
        <is>
          <t>grocery_1</t>
        </is>
      </c>
      <c r="N56" t="inlineStr">
        <is>
          <t>export.202503.categorized.csv</t>
        </is>
      </c>
    </row>
    <row r="57">
      <c r="A57" t="inlineStr">
        <is>
          <t>TX-000027</t>
        </is>
      </c>
      <c r="B57" s="11" t="n">
        <v>45743</v>
      </c>
      <c r="C57" t="inlineStr">
        <is>
          <t>2025-03</t>
        </is>
      </c>
      <c r="D57" t="inlineStr">
        <is>
          <t>Expense</t>
        </is>
      </c>
      <c r="E57" t="inlineStr">
        <is>
          <t>Leben</t>
        </is>
      </c>
      <c r="F57" t="inlineStr">
        <is>
          <t>Styling und Wellness</t>
        </is>
      </c>
      <c r="G57" t="inlineStr">
        <is>
          <t>Leben / Styling und Wellness</t>
        </is>
      </c>
      <c r="H57" t="inlineStr">
        <is>
          <t>THE BODY SHOP</t>
        </is>
      </c>
      <c r="J57" s="5" t="n">
        <v>0</v>
      </c>
      <c r="K57" s="5" t="n">
        <v>24.95</v>
      </c>
      <c r="L57" s="5" t="n">
        <v>24.95</v>
      </c>
      <c r="M57" t="inlineStr">
        <is>
          <t>wellness_1</t>
        </is>
      </c>
      <c r="N57" t="inlineStr">
        <is>
          <t>export.202503.categorized.csv</t>
        </is>
      </c>
    </row>
    <row r="58">
      <c r="A58" t="inlineStr">
        <is>
          <t>TX-000028</t>
        </is>
      </c>
      <c r="B58" s="11" t="n">
        <v>45743</v>
      </c>
      <c r="C58" t="inlineStr">
        <is>
          <t>2025-03</t>
        </is>
      </c>
      <c r="D58" t="inlineStr">
        <is>
          <t>Expense</t>
        </is>
      </c>
      <c r="E58" t="inlineStr">
        <is>
          <t>Freizeit</t>
        </is>
      </c>
      <c r="F58" t="inlineStr">
        <is>
          <t>Gastronomie</t>
        </is>
      </c>
      <c r="G58" t="inlineStr">
        <is>
          <t>Freizeit / Gastronomie</t>
        </is>
      </c>
      <c r="H58" t="inlineStr">
        <is>
          <t>YOOJI'S ROSENGARTEN</t>
        </is>
      </c>
      <c r="J58" s="5" t="n">
        <v>0</v>
      </c>
      <c r="K58" s="5" t="n">
        <v>11.9</v>
      </c>
      <c r="L58" s="5" t="n">
        <v>11.9</v>
      </c>
      <c r="M58" t="inlineStr">
        <is>
          <t>gastronomy_2</t>
        </is>
      </c>
      <c r="N58" t="inlineStr">
        <is>
          <t>export.202503.categorized.csv</t>
        </is>
      </c>
    </row>
    <row r="59">
      <c r="A59" t="inlineStr">
        <is>
          <t>TX-000029</t>
        </is>
      </c>
      <c r="B59" s="11" t="n">
        <v>45743</v>
      </c>
      <c r="C59" t="inlineStr">
        <is>
          <t>2025-03</t>
        </is>
      </c>
      <c r="D59" t="inlineStr">
        <is>
          <t>Expense</t>
        </is>
      </c>
      <c r="E59" t="inlineStr">
        <is>
          <t>Freizeit</t>
        </is>
      </c>
      <c r="F59" t="inlineStr">
        <is>
          <t>Gastronomie</t>
        </is>
      </c>
      <c r="G59" t="inlineStr">
        <is>
          <t>Freizeit / Gastronomie</t>
        </is>
      </c>
      <c r="H59" t="inlineStr">
        <is>
          <t>YOOJI'S ROSENGARTEN</t>
        </is>
      </c>
      <c r="J59" s="5" t="n">
        <v>0</v>
      </c>
      <c r="K59" s="5" t="n">
        <v>43.5</v>
      </c>
      <c r="L59" s="5" t="n">
        <v>43.5</v>
      </c>
      <c r="M59" t="inlineStr">
        <is>
          <t>gastronomy_2</t>
        </is>
      </c>
      <c r="N59" t="inlineStr">
        <is>
          <t>export.202503.categorized.csv</t>
        </is>
      </c>
    </row>
    <row r="60">
      <c r="A60" t="inlineStr">
        <is>
          <t>TX-000030</t>
        </is>
      </c>
      <c r="B60" s="11" t="n">
        <v>45743</v>
      </c>
      <c r="C60" t="inlineStr">
        <is>
          <t>2025-03</t>
        </is>
      </c>
      <c r="D60" t="inlineStr">
        <is>
          <t>Expense</t>
        </is>
      </c>
      <c r="E60" t="inlineStr">
        <is>
          <t>Freizeit</t>
        </is>
      </c>
      <c r="F60" t="inlineStr">
        <is>
          <t>Gastronomie</t>
        </is>
      </c>
      <c r="G60" t="inlineStr">
        <is>
          <t>Freizeit / Gastronomie</t>
        </is>
      </c>
      <c r="H60" t="inlineStr">
        <is>
          <t>COFFEE AND PLANTS</t>
        </is>
      </c>
      <c r="J60" s="5" t="n">
        <v>0</v>
      </c>
      <c r="K60" s="5" t="n">
        <v>10</v>
      </c>
      <c r="L60" s="5" t="n">
        <v>10</v>
      </c>
      <c r="M60" t="inlineStr">
        <is>
          <t>gastronomy_3</t>
        </is>
      </c>
      <c r="N60" t="inlineStr">
        <is>
          <t>export.202503.categorized.csv</t>
        </is>
      </c>
    </row>
    <row r="61">
      <c r="A61" t="inlineStr">
        <is>
          <t>TX-000032</t>
        </is>
      </c>
      <c r="B61" s="11" t="n">
        <v>45743</v>
      </c>
      <c r="C61" t="inlineStr">
        <is>
          <t>2025-03</t>
        </is>
      </c>
      <c r="D61" t="inlineStr">
        <is>
          <t>Expense</t>
        </is>
      </c>
      <c r="E61" t="inlineStr">
        <is>
          <t>Einkaufen</t>
        </is>
      </c>
      <c r="F61" t="inlineStr">
        <is>
          <t>Detail-Lebensmittel</t>
        </is>
      </c>
      <c r="G61" t="inlineStr">
        <is>
          <t>Einkaufen / Detail-Lebensmittel</t>
        </is>
      </c>
      <c r="H61" t="inlineStr">
        <is>
          <t>YUMIHANA</t>
        </is>
      </c>
      <c r="J61" s="5" t="n">
        <v>0</v>
      </c>
      <c r="K61" s="5" t="n">
        <v>18.55</v>
      </c>
      <c r="L61" s="5" t="n">
        <v>18.55</v>
      </c>
      <c r="M61" t="inlineStr">
        <is>
          <t>grocery_2</t>
        </is>
      </c>
      <c r="N61" t="inlineStr">
        <is>
          <t>export.202503.categorized.csv</t>
        </is>
      </c>
    </row>
    <row r="62">
      <c r="A62" t="inlineStr">
        <is>
          <t>TX-000033</t>
        </is>
      </c>
      <c r="B62" s="11" t="n">
        <v>45743</v>
      </c>
      <c r="C62" t="inlineStr">
        <is>
          <t>2025-03</t>
        </is>
      </c>
      <c r="D62" t="inlineStr">
        <is>
          <t>Expense</t>
        </is>
      </c>
      <c r="E62" t="inlineStr">
        <is>
          <t>Einkaufen</t>
        </is>
      </c>
      <c r="F62" t="inlineStr">
        <is>
          <t>Detail-Lebensmittel</t>
        </is>
      </c>
      <c r="G62" t="inlineStr">
        <is>
          <t>Einkaufen / Detail-Lebensmittel</t>
        </is>
      </c>
      <c r="H62" t="inlineStr">
        <is>
          <t>YUMI HANA</t>
        </is>
      </c>
      <c r="J62" s="5" t="n">
        <v>0</v>
      </c>
      <c r="K62" s="5" t="n">
        <v>26.8</v>
      </c>
      <c r="L62" s="5" t="n">
        <v>26.8</v>
      </c>
      <c r="M62" t="inlineStr">
        <is>
          <t>grocery_2</t>
        </is>
      </c>
      <c r="N62" t="inlineStr">
        <is>
          <t>export.202503.categorized.csv</t>
        </is>
      </c>
    </row>
    <row r="63">
      <c r="A63" t="inlineStr">
        <is>
          <t>TX-000034</t>
        </is>
      </c>
      <c r="B63" s="11" t="n">
        <v>45743</v>
      </c>
      <c r="C63" t="inlineStr">
        <is>
          <t>2025-03</t>
        </is>
      </c>
      <c r="D63" t="inlineStr">
        <is>
          <t>Expense</t>
        </is>
      </c>
      <c r="E63" t="inlineStr">
        <is>
          <t>Einkaufen</t>
        </is>
      </c>
      <c r="F63" t="inlineStr">
        <is>
          <t>Supermärkte</t>
        </is>
      </c>
      <c r="G63" t="inlineStr">
        <is>
          <t>Einkaufen / Supermärkte</t>
        </is>
      </c>
      <c r="H63" t="inlineStr">
        <is>
          <t>COOP - 7811 QUAI WEST</t>
        </is>
      </c>
      <c r="J63" s="5" t="n">
        <v>0</v>
      </c>
      <c r="K63" s="5" t="n">
        <v>7.75</v>
      </c>
      <c r="L63" s="5" t="n">
        <v>7.75</v>
      </c>
      <c r="M63" t="inlineStr">
        <is>
          <t>supermarket_1</t>
        </is>
      </c>
      <c r="N63" t="inlineStr">
        <is>
          <t>export.202503.categorized.csv</t>
        </is>
      </c>
    </row>
    <row r="64">
      <c r="A64" t="inlineStr">
        <is>
          <t>TX-000018</t>
        </is>
      </c>
      <c r="B64" s="11" t="n">
        <v>45744</v>
      </c>
      <c r="C64" t="inlineStr">
        <is>
          <t>2025-03</t>
        </is>
      </c>
      <c r="D64" t="inlineStr">
        <is>
          <t>Expense</t>
        </is>
      </c>
      <c r="E64" t="inlineStr">
        <is>
          <t>Mobilität</t>
        </is>
      </c>
      <c r="F64" t="inlineStr">
        <is>
          <t>Öffentlicher Verkehr</t>
        </is>
      </c>
      <c r="G64" t="inlineStr">
        <is>
          <t>Mobilität / Öffentlicher Verkehr</t>
        </is>
      </c>
      <c r="H64" t="inlineStr">
        <is>
          <t>TRANSPORTS PUBLICS FRIBOURGEOIS (FAIRTIQ) N/A PAYMENT ID 250328064754083058ZX BESTELLNUMMER</t>
        </is>
      </c>
      <c r="J64" s="5" t="n">
        <v>0</v>
      </c>
      <c r="K64" s="5" t="n">
        <v>34.3</v>
      </c>
      <c r="L64" s="5" t="n">
        <v>34.3</v>
      </c>
      <c r="M64" t="inlineStr">
        <is>
          <t>transport_1</t>
        </is>
      </c>
      <c r="N64" t="inlineStr">
        <is>
          <t>export.202503.categorized.csv</t>
        </is>
      </c>
    </row>
    <row r="65">
      <c r="A65" t="inlineStr">
        <is>
          <t>TX-000019</t>
        </is>
      </c>
      <c r="B65" s="11" t="n">
        <v>45744</v>
      </c>
      <c r="C65" t="inlineStr">
        <is>
          <t>2025-03</t>
        </is>
      </c>
      <c r="D65" t="inlineStr">
        <is>
          <t>Expense</t>
        </is>
      </c>
      <c r="E65" t="inlineStr">
        <is>
          <t>Einkaufen</t>
        </is>
      </c>
      <c r="F65" t="inlineStr">
        <is>
          <t>Detail-Lebensmittel</t>
        </is>
      </c>
      <c r="G65" t="inlineStr">
        <is>
          <t>Einkaufen / Detail-Lebensmittel</t>
        </is>
      </c>
      <c r="H65" t="inlineStr">
        <is>
          <t>SUMUP *BACKEREI ZUR K</t>
        </is>
      </c>
      <c r="J65" s="5" t="n">
        <v>0</v>
      </c>
      <c r="K65" s="5" t="n">
        <v>11.1</v>
      </c>
      <c r="L65" s="5" t="n">
        <v>11.1</v>
      </c>
      <c r="M65" t="inlineStr">
        <is>
          <t>grocery_1</t>
        </is>
      </c>
      <c r="N65" t="inlineStr">
        <is>
          <t>export.202503.categorized.csv</t>
        </is>
      </c>
    </row>
    <row r="66">
      <c r="A66" t="inlineStr">
        <is>
          <t>TX-000020</t>
        </is>
      </c>
      <c r="B66" s="11" t="n">
        <v>45744</v>
      </c>
      <c r="C66" t="inlineStr">
        <is>
          <t>2025-03</t>
        </is>
      </c>
      <c r="D66" t="inlineStr">
        <is>
          <t>Expense</t>
        </is>
      </c>
      <c r="E66" t="inlineStr">
        <is>
          <t>Einkaufen</t>
        </is>
      </c>
      <c r="F66" t="inlineStr">
        <is>
          <t>Sonstiges Einkaufen</t>
        </is>
      </c>
      <c r="G66" t="inlineStr">
        <is>
          <t>Einkaufen / Sonstiges Einkaufen</t>
        </is>
      </c>
      <c r="H66" t="inlineStr">
        <is>
          <t>KKIOSK 45810</t>
        </is>
      </c>
      <c r="J66" s="5" t="n">
        <v>0</v>
      </c>
      <c r="K66" s="5" t="n">
        <v>7.1</v>
      </c>
      <c r="L66" s="5" t="n">
        <v>7.1</v>
      </c>
      <c r="M66" t="inlineStr">
        <is>
          <t>shopping_1</t>
        </is>
      </c>
      <c r="N66" t="inlineStr">
        <is>
          <t>export.202503.categorized.csv</t>
        </is>
      </c>
    </row>
    <row r="67">
      <c r="A67" t="inlineStr">
        <is>
          <t>TX-000021</t>
        </is>
      </c>
      <c r="B67" s="11" t="n">
        <v>45744</v>
      </c>
      <c r="C67" t="inlineStr">
        <is>
          <t>2025-03</t>
        </is>
      </c>
      <c r="D67" t="inlineStr">
        <is>
          <t>Expense</t>
        </is>
      </c>
      <c r="E67" t="inlineStr">
        <is>
          <t>Leben</t>
        </is>
      </c>
      <c r="F67" t="inlineStr">
        <is>
          <t>Gesundheit</t>
        </is>
      </c>
      <c r="G67" t="inlineStr">
        <is>
          <t>Leben / Gesundheit</t>
        </is>
      </c>
      <c r="H67" t="inlineStr">
        <is>
          <t>BAHNHOF APOTHEKE AG</t>
        </is>
      </c>
      <c r="J67" s="5" t="n">
        <v>0</v>
      </c>
      <c r="K67" s="5" t="n">
        <v>24.4</v>
      </c>
      <c r="L67" s="5" t="n">
        <v>24.4</v>
      </c>
      <c r="M67" t="inlineStr">
        <is>
          <t>health_1</t>
        </is>
      </c>
      <c r="N67" t="inlineStr">
        <is>
          <t>export.202503.categorized.csv</t>
        </is>
      </c>
    </row>
    <row r="68">
      <c r="A68" t="inlineStr">
        <is>
          <t>TX-000022</t>
        </is>
      </c>
      <c r="B68" s="11" t="n">
        <v>45744</v>
      </c>
      <c r="C68" t="inlineStr">
        <is>
          <t>2025-03</t>
        </is>
      </c>
      <c r="D68" t="inlineStr">
        <is>
          <t>Expense</t>
        </is>
      </c>
      <c r="E68" t="inlineStr">
        <is>
          <t>Einkaufen</t>
        </is>
      </c>
      <c r="F68" t="inlineStr">
        <is>
          <t>Detail-Lebensmittel</t>
        </is>
      </c>
      <c r="G68" t="inlineStr">
        <is>
          <t>Einkaufen / Detail-Lebensmittel</t>
        </is>
      </c>
      <c r="H68" t="inlineStr">
        <is>
          <t>BÄCKEREI HUG</t>
        </is>
      </c>
      <c r="J68" s="5" t="n">
        <v>0</v>
      </c>
      <c r="K68" s="5" t="n">
        <v>8.1</v>
      </c>
      <c r="L68" s="5" t="n">
        <v>8.1</v>
      </c>
      <c r="M68" t="inlineStr">
        <is>
          <t>grocery_1</t>
        </is>
      </c>
      <c r="N68" t="inlineStr">
        <is>
          <t>export.202503.categorized.csv</t>
        </is>
      </c>
    </row>
    <row r="69">
      <c r="A69" t="inlineStr">
        <is>
          <t>TX-000023</t>
        </is>
      </c>
      <c r="B69" s="11" t="n">
        <v>45744</v>
      </c>
      <c r="C69" t="inlineStr">
        <is>
          <t>2025-03</t>
        </is>
      </c>
      <c r="D69" t="inlineStr">
        <is>
          <t>Expense</t>
        </is>
      </c>
      <c r="E69" t="inlineStr">
        <is>
          <t>Einkaufen</t>
        </is>
      </c>
      <c r="F69" t="inlineStr">
        <is>
          <t>Supermärkte</t>
        </is>
      </c>
      <c r="G69" t="inlineStr">
        <is>
          <t>Einkaufen / Supermärkte</t>
        </is>
      </c>
      <c r="H69" t="inlineStr">
        <is>
          <t>MIGROS M RIVERSIDE (7741)</t>
        </is>
      </c>
      <c r="J69" s="5" t="n">
        <v>0</v>
      </c>
      <c r="K69" s="5" t="n">
        <v>28.35</v>
      </c>
      <c r="L69" s="5" t="n">
        <v>28.35</v>
      </c>
      <c r="M69" t="inlineStr">
        <is>
          <t>supermarket_1</t>
        </is>
      </c>
      <c r="N69" t="inlineStr">
        <is>
          <t>export.202503.categorized.csv</t>
        </is>
      </c>
    </row>
    <row r="70">
      <c r="A70" t="inlineStr">
        <is>
          <t>TX-000015</t>
        </is>
      </c>
      <c r="B70" s="11" t="n">
        <v>45745</v>
      </c>
      <c r="C70" t="inlineStr">
        <is>
          <t>2025-03</t>
        </is>
      </c>
      <c r="D70" t="inlineStr">
        <is>
          <t>Expense</t>
        </is>
      </c>
      <c r="E70" t="inlineStr">
        <is>
          <t>Einkaufen</t>
        </is>
      </c>
      <c r="F70" t="inlineStr">
        <is>
          <t>Detail-Lebensmittel</t>
        </is>
      </c>
      <c r="G70" t="inlineStr">
        <is>
          <t>Einkaufen / Detail-Lebensmittel</t>
        </is>
      </c>
      <c r="H70" t="inlineStr">
        <is>
          <t>BÄCKEREI HUG</t>
        </is>
      </c>
      <c r="J70" s="5" t="n">
        <v>0</v>
      </c>
      <c r="K70" s="5" t="n">
        <v>8.5</v>
      </c>
      <c r="L70" s="5" t="n">
        <v>8.5</v>
      </c>
      <c r="M70" t="inlineStr">
        <is>
          <t>grocery_1</t>
        </is>
      </c>
      <c r="N70" t="inlineStr">
        <is>
          <t>export.202503.categorized.csv</t>
        </is>
      </c>
    </row>
    <row r="71">
      <c r="A71" t="inlineStr">
        <is>
          <t>TX-000016</t>
        </is>
      </c>
      <c r="B71" s="11" t="n">
        <v>45745</v>
      </c>
      <c r="C71" t="inlineStr">
        <is>
          <t>2025-03</t>
        </is>
      </c>
      <c r="D71" t="inlineStr">
        <is>
          <t>Expense</t>
        </is>
      </c>
      <c r="E71" t="inlineStr">
        <is>
          <t>Einkaufen</t>
        </is>
      </c>
      <c r="F71" t="inlineStr">
        <is>
          <t>Supermärkte</t>
        </is>
      </c>
      <c r="G71" t="inlineStr">
        <is>
          <t>Einkaufen / Supermärkte</t>
        </is>
      </c>
      <c r="H71" t="inlineStr">
        <is>
          <t>MIGROS M RIVERSIDE (7741)</t>
        </is>
      </c>
      <c r="J71" s="5" t="n">
        <v>0</v>
      </c>
      <c r="K71" s="5" t="n">
        <v>2.9</v>
      </c>
      <c r="L71" s="5" t="n">
        <v>2.9</v>
      </c>
      <c r="M71" t="inlineStr">
        <is>
          <t>supermarket_1</t>
        </is>
      </c>
      <c r="N71" t="inlineStr">
        <is>
          <t>export.202503.categorized.csv</t>
        </is>
      </c>
    </row>
    <row r="72">
      <c r="A72" t="inlineStr">
        <is>
          <t>TX-000017</t>
        </is>
      </c>
      <c r="B72" s="11" t="n">
        <v>45745</v>
      </c>
      <c r="C72" t="inlineStr">
        <is>
          <t>2025-03</t>
        </is>
      </c>
      <c r="D72" t="inlineStr">
        <is>
          <t>Expense</t>
        </is>
      </c>
      <c r="E72" t="inlineStr">
        <is>
          <t>Wohnen</t>
        </is>
      </c>
      <c r="F72" t="inlineStr">
        <is>
          <t>Kommunikation</t>
        </is>
      </c>
      <c r="G72" t="inlineStr">
        <is>
          <t>Wohnen / Kommunikation</t>
        </is>
      </c>
      <c r="H72" t="inlineStr">
        <is>
          <t>SUNRISE GMBH POSTFACH 8050 ZURICH</t>
        </is>
      </c>
      <c r="J72" s="5" t="n">
        <v>0</v>
      </c>
      <c r="K72" s="5" t="n">
        <v>49.6</v>
      </c>
      <c r="L72" s="5" t="n">
        <v>49.6</v>
      </c>
      <c r="M72" t="inlineStr">
        <is>
          <t>communication_1</t>
        </is>
      </c>
      <c r="N72" t="inlineStr">
        <is>
          <t>export.202503.categorized.csv</t>
        </is>
      </c>
    </row>
    <row r="73">
      <c r="A73" t="inlineStr">
        <is>
          <t>TX-000010</t>
        </is>
      </c>
      <c r="B73" s="11" t="n">
        <v>45746</v>
      </c>
      <c r="C73" t="inlineStr">
        <is>
          <t>2025-03</t>
        </is>
      </c>
      <c r="D73" t="inlineStr">
        <is>
          <t>Expense</t>
        </is>
      </c>
      <c r="E73" t="inlineStr">
        <is>
          <t>Freizeit</t>
        </is>
      </c>
      <c r="F73" t="inlineStr">
        <is>
          <t>Gastronomie</t>
        </is>
      </c>
      <c r="G73" t="inlineStr">
        <is>
          <t>Freizeit / Gastronomie</t>
        </is>
      </c>
      <c r="H73" t="inlineStr">
        <is>
          <t>SIGNOR ROSSI</t>
        </is>
      </c>
      <c r="J73" s="5" t="n">
        <v>0</v>
      </c>
      <c r="K73" s="5" t="n">
        <v>20</v>
      </c>
      <c r="L73" s="5" t="n">
        <v>20</v>
      </c>
      <c r="M73" t="inlineStr">
        <is>
          <t>gastronomy_2</t>
        </is>
      </c>
      <c r="N73" t="inlineStr">
        <is>
          <t>export.202503.categorized.csv</t>
        </is>
      </c>
    </row>
    <row r="74">
      <c r="A74" t="inlineStr">
        <is>
          <t>TX-000011</t>
        </is>
      </c>
      <c r="B74" s="11" t="n">
        <v>45746</v>
      </c>
      <c r="C74" t="inlineStr">
        <is>
          <t>2025-03</t>
        </is>
      </c>
      <c r="D74" t="inlineStr">
        <is>
          <t>Expense</t>
        </is>
      </c>
      <c r="E74" t="inlineStr">
        <is>
          <t>Einkaufen</t>
        </is>
      </c>
      <c r="F74" t="inlineStr">
        <is>
          <t>Supermärkte</t>
        </is>
      </c>
      <c r="G74" t="inlineStr">
        <is>
          <t>Einkaufen / Supermärkte</t>
        </is>
      </c>
      <c r="H74" t="inlineStr">
        <is>
          <t>MIGROS MARKTHALLE (8812)</t>
        </is>
      </c>
      <c r="J74" s="5" t="n">
        <v>0</v>
      </c>
      <c r="K74" s="5" t="n">
        <v>20.7</v>
      </c>
      <c r="L74" s="5" t="n">
        <v>20.7</v>
      </c>
      <c r="M74" t="inlineStr">
        <is>
          <t>supermarket_1</t>
        </is>
      </c>
      <c r="N74" t="inlineStr">
        <is>
          <t>export.202503.categorized.csv</t>
        </is>
      </c>
    </row>
    <row r="75">
      <c r="A75" t="inlineStr">
        <is>
          <t>TX-000012</t>
        </is>
      </c>
      <c r="B75" s="11" t="n">
        <v>45746</v>
      </c>
      <c r="C75" t="inlineStr">
        <is>
          <t>2025-03</t>
        </is>
      </c>
      <c r="D75" t="inlineStr">
        <is>
          <t>Expense</t>
        </is>
      </c>
      <c r="E75" t="inlineStr">
        <is>
          <t>Freizeit</t>
        </is>
      </c>
      <c r="F75" t="inlineStr">
        <is>
          <t>Gastronomie</t>
        </is>
      </c>
      <c r="G75" t="inlineStr">
        <is>
          <t>Freizeit / Gastronomie</t>
        </is>
      </c>
      <c r="H75" t="inlineStr">
        <is>
          <t>MIGROS CITY TAKE AWAY (6624)</t>
        </is>
      </c>
      <c r="J75" s="5" t="n">
        <v>0</v>
      </c>
      <c r="K75" s="5" t="n">
        <v>3.9</v>
      </c>
      <c r="L75" s="5" t="n">
        <v>3.9</v>
      </c>
      <c r="M75" t="inlineStr">
        <is>
          <t>gastronomy_1</t>
        </is>
      </c>
      <c r="N75" t="inlineStr">
        <is>
          <t>export.202503.categorized.csv</t>
        </is>
      </c>
    </row>
    <row r="76">
      <c r="A76" t="inlineStr">
        <is>
          <t>TX-000013</t>
        </is>
      </c>
      <c r="B76" s="11" t="n">
        <v>45746</v>
      </c>
      <c r="C76" t="inlineStr">
        <is>
          <t>2025-03</t>
        </is>
      </c>
      <c r="D76" t="inlineStr">
        <is>
          <t>Expense</t>
        </is>
      </c>
      <c r="E76" t="inlineStr">
        <is>
          <t>Freizeit</t>
        </is>
      </c>
      <c r="F76" t="inlineStr">
        <is>
          <t>Kultur</t>
        </is>
      </c>
      <c r="G76" t="inlineStr">
        <is>
          <t>Freizeit / Kultur</t>
        </is>
      </c>
      <c r="H76" t="inlineStr">
        <is>
          <t>BYRO</t>
        </is>
      </c>
      <c r="J76" s="5" t="n">
        <v>0</v>
      </c>
      <c r="K76" s="5" t="n">
        <v>15</v>
      </c>
      <c r="L76" s="5" t="n">
        <v>15</v>
      </c>
      <c r="M76" t="inlineStr">
        <is>
          <t>life_1</t>
        </is>
      </c>
      <c r="N76" t="inlineStr">
        <is>
          <t>export.202503.categorized.csv</t>
        </is>
      </c>
    </row>
    <row r="77">
      <c r="A77" t="inlineStr">
        <is>
          <t>TX-000014</t>
        </is>
      </c>
      <c r="B77" s="11" t="n">
        <v>45746</v>
      </c>
      <c r="C77" t="inlineStr">
        <is>
          <t>2025-03</t>
        </is>
      </c>
      <c r="D77" t="inlineStr">
        <is>
          <t>Expense</t>
        </is>
      </c>
      <c r="E77" t="inlineStr">
        <is>
          <t>Leben</t>
        </is>
      </c>
      <c r="F77" t="inlineStr">
        <is>
          <t>Sonstiges Leben</t>
        </is>
      </c>
      <c r="G77" t="inlineStr">
        <is>
          <t>Leben / Sonstiges Leben</t>
        </is>
      </c>
      <c r="H77" t="inlineStr">
        <is>
          <t>BYRO</t>
        </is>
      </c>
      <c r="J77" s="5" t="n">
        <v>0</v>
      </c>
      <c r="K77" s="5" t="n">
        <v>36.8</v>
      </c>
      <c r="L77" s="5" t="n">
        <v>36.8</v>
      </c>
      <c r="M77" t="inlineStr">
        <is>
          <t>life_1</t>
        </is>
      </c>
      <c r="N77" t="inlineStr">
        <is>
          <t>export.202503.categorized.csv</t>
        </is>
      </c>
    </row>
    <row r="78">
      <c r="A78" t="inlineStr">
        <is>
          <t>TX-000003</t>
        </is>
      </c>
      <c r="B78" s="11" t="n">
        <v>45747</v>
      </c>
      <c r="C78" t="inlineStr">
        <is>
          <t>2025-03</t>
        </is>
      </c>
      <c r="D78" t="inlineStr">
        <is>
          <t>Expense</t>
        </is>
      </c>
      <c r="E78" t="inlineStr">
        <is>
          <t>Einkaufen</t>
        </is>
      </c>
      <c r="F78" t="inlineStr">
        <is>
          <t>Detail-Lebensmittel</t>
        </is>
      </c>
      <c r="G78" t="inlineStr">
        <is>
          <t>Einkaufen / Detail-Lebensmittel</t>
        </is>
      </c>
      <c r="H78" t="inlineStr">
        <is>
          <t>CITY TANKSTELLE</t>
        </is>
      </c>
      <c r="J78" s="5" t="n">
        <v>0</v>
      </c>
      <c r="K78" s="5" t="n">
        <v>10.34</v>
      </c>
      <c r="L78" s="5" t="n">
        <v>10.34</v>
      </c>
      <c r="M78" t="inlineStr">
        <is>
          <t>grocery_3</t>
        </is>
      </c>
      <c r="N78" t="inlineStr">
        <is>
          <t>export.202503.categorized.csv</t>
        </is>
      </c>
    </row>
    <row r="79">
      <c r="A79" t="inlineStr">
        <is>
          <t>TX-000004</t>
        </is>
      </c>
      <c r="B79" s="11" t="n">
        <v>45747</v>
      </c>
      <c r="C79" t="inlineStr">
        <is>
          <t>2025-03</t>
        </is>
      </c>
      <c r="D79" t="inlineStr">
        <is>
          <t>Expense</t>
        </is>
      </c>
      <c r="E79" t="inlineStr">
        <is>
          <t>Einkaufen</t>
        </is>
      </c>
      <c r="F79" t="inlineStr">
        <is>
          <t>Detail-Lebensmittel</t>
        </is>
      </c>
      <c r="G79" t="inlineStr">
        <is>
          <t>Einkaufen / Detail-Lebensmittel</t>
        </is>
      </c>
      <c r="H79" t="inlineStr">
        <is>
          <t>CITY TANKSTELLE</t>
        </is>
      </c>
      <c r="J79" s="5" t="n">
        <v>0</v>
      </c>
      <c r="K79" s="5" t="n">
        <v>6.55</v>
      </c>
      <c r="L79" s="5" t="n">
        <v>6.55</v>
      </c>
      <c r="M79" t="inlineStr">
        <is>
          <t>grocery_3</t>
        </is>
      </c>
      <c r="N79" t="inlineStr">
        <is>
          <t>export.202503.categorized.csv</t>
        </is>
      </c>
    </row>
    <row r="80">
      <c r="A80" t="inlineStr">
        <is>
          <t>TX-000006</t>
        </is>
      </c>
      <c r="B80" s="11" t="n">
        <v>45747</v>
      </c>
      <c r="C80" t="inlineStr">
        <is>
          <t>2025-03</t>
        </is>
      </c>
      <c r="D80" t="inlineStr">
        <is>
          <t>Expense</t>
        </is>
      </c>
      <c r="E80" t="inlineStr">
        <is>
          <t>Einkaufen</t>
        </is>
      </c>
      <c r="F80" t="inlineStr">
        <is>
          <t>Sonstiges Einkaufen</t>
        </is>
      </c>
      <c r="G80" t="inlineStr">
        <is>
          <t>Einkaufen / Sonstiges Einkaufen</t>
        </is>
      </c>
      <c r="H80" t="inlineStr">
        <is>
          <t>KKIOSK 45810</t>
        </is>
      </c>
      <c r="J80" s="5" t="n">
        <v>0</v>
      </c>
      <c r="K80" s="5" t="n">
        <v>7.55</v>
      </c>
      <c r="L80" s="5" t="n">
        <v>7.55</v>
      </c>
      <c r="M80" t="inlineStr">
        <is>
          <t>shopping_1</t>
        </is>
      </c>
      <c r="N80" t="inlineStr">
        <is>
          <t>export.202503.categorized.csv</t>
        </is>
      </c>
    </row>
    <row r="81">
      <c r="A81" t="inlineStr">
        <is>
          <t>TX-000007</t>
        </is>
      </c>
      <c r="B81" s="11" t="n">
        <v>45747</v>
      </c>
      <c r="C81" t="inlineStr">
        <is>
          <t>2025-03</t>
        </is>
      </c>
      <c r="D81" t="inlineStr">
        <is>
          <t>Expense</t>
        </is>
      </c>
      <c r="E81" t="inlineStr">
        <is>
          <t>Einkaufen</t>
        </is>
      </c>
      <c r="F81" t="inlineStr">
        <is>
          <t>Supermärkte</t>
        </is>
      </c>
      <c r="G81" t="inlineStr">
        <is>
          <t>Einkaufen / Supermärkte</t>
        </is>
      </c>
      <c r="H81" t="inlineStr">
        <is>
          <t>MIGROS MARKTHALLE (8812)</t>
        </is>
      </c>
      <c r="J81" s="5" t="n">
        <v>0</v>
      </c>
      <c r="K81" s="5" t="n">
        <v>22.2</v>
      </c>
      <c r="L81" s="5" t="n">
        <v>22.2</v>
      </c>
      <c r="M81" t="inlineStr">
        <is>
          <t>supermarket_1</t>
        </is>
      </c>
      <c r="N81" t="inlineStr">
        <is>
          <t>export.202503.categorized.csv</t>
        </is>
      </c>
    </row>
    <row r="82">
      <c r="A82" t="inlineStr">
        <is>
          <t>TX-000008</t>
        </is>
      </c>
      <c r="B82" s="11" t="n">
        <v>45747</v>
      </c>
      <c r="C82" t="inlineStr">
        <is>
          <t>2025-03</t>
        </is>
      </c>
      <c r="D82" t="inlineStr">
        <is>
          <t>Expense</t>
        </is>
      </c>
      <c r="E82" t="inlineStr">
        <is>
          <t>Finanzen</t>
        </is>
      </c>
      <c r="F82" t="inlineStr">
        <is>
          <t>Fees</t>
        </is>
      </c>
      <c r="G82" t="inlineStr">
        <is>
          <t>Finanzen / Fees</t>
        </is>
      </c>
      <c r="H82" t="inlineStr">
        <is>
          <t>PREIS FÜR BANKPAKET SMART 02.2025</t>
        </is>
      </c>
      <c r="I82" t="inlineStr">
        <is>
          <t>PREIS FÜR BANKPAKET SMART 02.2025</t>
        </is>
      </c>
      <c r="J82" s="5" t="n">
        <v>0</v>
      </c>
      <c r="K82" s="5" t="n">
        <v>5</v>
      </c>
      <c r="L82" s="5" t="n">
        <v>5</v>
      </c>
      <c r="M82" t="inlineStr">
        <is>
          <t>finance_2</t>
        </is>
      </c>
      <c r="N82" t="inlineStr">
        <is>
          <t>export.202503.categorized.csv</t>
        </is>
      </c>
    </row>
    <row r="83">
      <c r="A83" t="inlineStr">
        <is>
          <t>TX-000009</t>
        </is>
      </c>
      <c r="B83" s="11" t="n">
        <v>45747</v>
      </c>
      <c r="C83" t="inlineStr">
        <is>
          <t>2025-03</t>
        </is>
      </c>
      <c r="D83" t="inlineStr">
        <is>
          <t>Expense</t>
        </is>
      </c>
      <c r="E83" t="inlineStr">
        <is>
          <t>Wohnen</t>
        </is>
      </c>
      <c r="F83" t="inlineStr">
        <is>
          <t>Miete und Hypothek</t>
        </is>
      </c>
      <c r="G83" t="inlineStr">
        <is>
          <t>Wohnen / Miete und Hypothek</t>
        </is>
      </c>
      <c r="H83" t="inlineStr">
        <is>
          <t>FINANZVERWALTUNG STADT SOLOTHURN</t>
        </is>
      </c>
      <c r="I83" t="inlineStr">
        <is>
          <t>2025/04/01 / 7045128</t>
        </is>
      </c>
      <c r="J83" s="5" t="n">
        <v>0</v>
      </c>
      <c r="K83" s="5" t="n">
        <v>1774</v>
      </c>
      <c r="L83" s="5" t="n">
        <v>1774</v>
      </c>
      <c r="M83" t="inlineStr">
        <is>
          <t>housing_1</t>
        </is>
      </c>
      <c r="N83" t="inlineStr">
        <is>
          <t>export.202503.categorized.csv</t>
        </is>
      </c>
    </row>
    <row r="84">
      <c r="A84" t="inlineStr">
        <is>
          <t>TX-000064</t>
        </is>
      </c>
      <c r="B84" s="11" t="n">
        <v>45747</v>
      </c>
      <c r="C84" t="inlineStr">
        <is>
          <t>2025-03</t>
        </is>
      </c>
      <c r="D84" t="inlineStr">
        <is>
          <t>Expense</t>
        </is>
      </c>
      <c r="E84" t="inlineStr">
        <is>
          <t>Leben</t>
        </is>
      </c>
      <c r="F84" t="inlineStr">
        <is>
          <t>Styling und Wellness</t>
        </is>
      </c>
      <c r="G84" t="inlineStr">
        <is>
          <t>Leben / Styling und Wellness</t>
        </is>
      </c>
      <c r="H84" t="inlineStr">
        <is>
          <t>SUMUP *COIFFEUR HAIRCUT</t>
        </is>
      </c>
      <c r="J84" s="5" t="n">
        <v>0</v>
      </c>
      <c r="K84" s="5" t="n">
        <v>50</v>
      </c>
      <c r="L84" s="5" t="n">
        <v>50</v>
      </c>
      <c r="M84" t="inlineStr">
        <is>
          <t>wellness_2</t>
        </is>
      </c>
      <c r="N84" t="inlineStr">
        <is>
          <t>export.202503.categorized.csv</t>
        </is>
      </c>
    </row>
    <row r="85">
      <c r="A85" t="inlineStr">
        <is>
          <t>TX-000089</t>
        </is>
      </c>
      <c r="B85" s="11" t="n">
        <v>45748</v>
      </c>
      <c r="C85" t="inlineStr">
        <is>
          <t>2025-04</t>
        </is>
      </c>
      <c r="D85" t="inlineStr">
        <is>
          <t>Refund</t>
        </is>
      </c>
      <c r="E85" t="inlineStr">
        <is>
          <t>Leben</t>
        </is>
      </c>
      <c r="F85" t="inlineStr">
        <is>
          <t>Krankenkasse</t>
        </is>
      </c>
      <c r="G85" t="inlineStr">
        <is>
          <t>Leben / Krankenkasse</t>
        </is>
      </c>
      <c r="H85" t="inlineStr">
        <is>
          <t>MUSTER UND BEISPIEL GEMEINSCHAFTSKONTO MUSTERWEG 1 4600 OLTEN</t>
        </is>
      </c>
      <c r="J85" s="5" t="n">
        <v>120</v>
      </c>
      <c r="K85" s="5" t="n">
        <v>0</v>
      </c>
      <c r="L85" s="5" t="n">
        <v>-120</v>
      </c>
      <c r="M85" t="inlineStr">
        <is>
          <t>refund_example_amount_1</t>
        </is>
      </c>
      <c r="N85" t="inlineStr">
        <is>
          <t>export.202504.categorized.csv</t>
        </is>
      </c>
    </row>
    <row r="86">
      <c r="A86" t="inlineStr">
        <is>
          <t>TX-000090</t>
        </is>
      </c>
      <c r="B86" s="11" t="n">
        <v>45748</v>
      </c>
      <c r="C86" t="inlineStr">
        <is>
          <t>2025-04</t>
        </is>
      </c>
      <c r="D86" t="inlineStr">
        <is>
          <t>Refund</t>
        </is>
      </c>
      <c r="E86" t="inlineStr">
        <is>
          <t>Leben</t>
        </is>
      </c>
      <c r="F86" t="inlineStr">
        <is>
          <t>Familie</t>
        </is>
      </c>
      <c r="G86" t="inlineStr">
        <is>
          <t>Leben / Familie</t>
        </is>
      </c>
      <c r="H86" t="inlineStr">
        <is>
          <t>MUSTER UND BEISPIEL GEMEINSCHAFTSKONTO MUSTERWEG 1 4600 OLTEN</t>
        </is>
      </c>
      <c r="J86" s="5" t="n">
        <v>15</v>
      </c>
      <c r="K86" s="5" t="n">
        <v>0</v>
      </c>
      <c r="L86" s="5" t="n">
        <v>-15</v>
      </c>
      <c r="M86" t="inlineStr">
        <is>
          <t>refund_example_counterparty_1</t>
        </is>
      </c>
      <c r="N86" t="inlineStr">
        <is>
          <t>export.202504.categorized.csv</t>
        </is>
      </c>
    </row>
    <row r="87">
      <c r="A87" t="inlineStr">
        <is>
          <t>TX-000061</t>
        </is>
      </c>
      <c r="B87" s="11" t="n">
        <v>45751</v>
      </c>
      <c r="C87" t="inlineStr">
        <is>
          <t>2025-04</t>
        </is>
      </c>
      <c r="D87" t="inlineStr">
        <is>
          <t>Refund</t>
        </is>
      </c>
      <c r="E87" t="inlineStr">
        <is>
          <t>Freizeit</t>
        </is>
      </c>
      <c r="F87" t="inlineStr">
        <is>
          <t>Reisen und Erleben</t>
        </is>
      </c>
      <c r="G87" t="inlineStr">
        <is>
          <t>Freizeit / Reisen und Erleben</t>
        </is>
      </c>
      <c r="H87" t="inlineStr">
        <is>
          <t>UEFA WOMEN'S EURO 2025 NYON</t>
        </is>
      </c>
      <c r="J87" s="5" t="n">
        <v>100</v>
      </c>
      <c r="K87" s="5" t="n">
        <v>0</v>
      </c>
      <c r="L87" s="5" t="n">
        <v>-100</v>
      </c>
      <c r="M87" t="inlineStr">
        <is>
          <t>refund_3</t>
        </is>
      </c>
      <c r="N87" t="inlineStr">
        <is>
          <t>export.202504.categorized.csv</t>
        </is>
      </c>
    </row>
    <row r="88">
      <c r="A88" t="inlineStr">
        <is>
          <t>TX-000084</t>
        </is>
      </c>
      <c r="B88" s="11" t="n">
        <v>45752</v>
      </c>
      <c r="C88" t="inlineStr">
        <is>
          <t>2025-04</t>
        </is>
      </c>
      <c r="D88" t="inlineStr">
        <is>
          <t>Expense</t>
        </is>
      </c>
      <c r="E88" t="inlineStr">
        <is>
          <t>Einkaufen</t>
        </is>
      </c>
      <c r="F88" t="inlineStr">
        <is>
          <t>Supermärkte</t>
        </is>
      </c>
      <c r="G88" t="inlineStr">
        <is>
          <t>Einkaufen / Supermärkte</t>
        </is>
      </c>
      <c r="H88" t="inlineStr">
        <is>
          <t>MIGROS MARKTHALLE (8812)</t>
        </is>
      </c>
      <c r="J88" s="5" t="n">
        <v>0</v>
      </c>
      <c r="K88" s="5" t="n">
        <v>108.9</v>
      </c>
      <c r="L88" s="5" t="n">
        <v>108.9</v>
      </c>
      <c r="M88" t="inlineStr">
        <is>
          <t>supermarket_1</t>
        </is>
      </c>
      <c r="N88" t="inlineStr">
        <is>
          <t>export.202504.categorized.csv</t>
        </is>
      </c>
    </row>
    <row r="89">
      <c r="A89" t="inlineStr">
        <is>
          <t>TX-000085</t>
        </is>
      </c>
      <c r="B89" s="11" t="n">
        <v>45759</v>
      </c>
      <c r="C89" t="inlineStr">
        <is>
          <t>2025-04</t>
        </is>
      </c>
      <c r="D89" t="inlineStr">
        <is>
          <t>Expense</t>
        </is>
      </c>
      <c r="E89" t="inlineStr">
        <is>
          <t>Einkaufen</t>
        </is>
      </c>
      <c r="F89" t="inlineStr">
        <is>
          <t>Supermärkte</t>
        </is>
      </c>
      <c r="G89" t="inlineStr">
        <is>
          <t>Einkaufen / Supermärkte</t>
        </is>
      </c>
      <c r="H89" t="inlineStr">
        <is>
          <t>COOP-5510 RIVERSIDE REST.</t>
        </is>
      </c>
      <c r="J89" s="5" t="n">
        <v>0</v>
      </c>
      <c r="K89" s="5" t="n">
        <v>76.3</v>
      </c>
      <c r="L89" s="5" t="n">
        <v>76.3</v>
      </c>
      <c r="M89" t="inlineStr">
        <is>
          <t>supermarket_1</t>
        </is>
      </c>
      <c r="N89" t="inlineStr">
        <is>
          <t>export.202504.categorized.csv</t>
        </is>
      </c>
    </row>
    <row r="90">
      <c r="A90" t="inlineStr">
        <is>
          <t>TX-000062</t>
        </is>
      </c>
      <c r="B90" s="11" t="n">
        <v>45763</v>
      </c>
      <c r="C90" t="inlineStr">
        <is>
          <t>2025-04</t>
        </is>
      </c>
      <c r="D90" t="inlineStr">
        <is>
          <t>Income</t>
        </is>
      </c>
      <c r="E90" t="inlineStr">
        <is>
          <t>Einkommen</t>
        </is>
      </c>
      <c r="F90" t="inlineStr">
        <is>
          <t>Nebenerwerb</t>
        </is>
      </c>
      <c r="G90" t="inlineStr">
        <is>
          <t>Einkommen / Nebenerwerb</t>
        </is>
      </c>
      <c r="H90" t="inlineStr">
        <is>
          <t>FIKTIVE LOHN AG PERSONALABTEILUNG</t>
        </is>
      </c>
      <c r="I90" t="inlineStr">
        <is>
          <t>LOHNBEISPIEL APRIL 2025 | DEMO REF 001</t>
        </is>
      </c>
      <c r="J90" s="5" t="n">
        <v>4200</v>
      </c>
      <c r="K90" s="5" t="n">
        <v>0</v>
      </c>
      <c r="L90" s="5" t="n">
        <v>-4200</v>
      </c>
      <c r="M90" t="inlineStr">
        <is>
          <t>income_example_counterparty_1</t>
        </is>
      </c>
      <c r="N90" t="inlineStr">
        <is>
          <t>export.202504.categorized.csv</t>
        </is>
      </c>
    </row>
    <row r="91">
      <c r="A91" t="inlineStr">
        <is>
          <t>TX-000063</t>
        </is>
      </c>
      <c r="B91" s="11" t="n">
        <v>45764</v>
      </c>
      <c r="C91" t="inlineStr">
        <is>
          <t>2025-04</t>
        </is>
      </c>
      <c r="D91" t="inlineStr">
        <is>
          <t>Expense</t>
        </is>
      </c>
      <c r="E91" t="inlineStr">
        <is>
          <t>Finanzen</t>
        </is>
      </c>
      <c r="F91" t="inlineStr">
        <is>
          <t>Spenden</t>
        </is>
      </c>
      <c r="G91" t="inlineStr">
        <is>
          <t>Finanzen / Spenden</t>
        </is>
      </c>
      <c r="H91" t="inlineStr">
        <is>
          <t>ANONYMISIERTER VEREIN MITTEILUNGEN: DEMO-ZWECK JAHRESBEITRAG</t>
        </is>
      </c>
      <c r="J91" s="5" t="n">
        <v>0</v>
      </c>
      <c r="K91" s="5" t="n">
        <v>25</v>
      </c>
      <c r="L91" s="5" t="n">
        <v>25</v>
      </c>
      <c r="M91" t="inlineStr">
        <is>
          <t>expense_example_counterparty_iban_1</t>
        </is>
      </c>
      <c r="N91" t="inlineStr">
        <is>
          <t>export.202504.categorized.csv</t>
        </is>
      </c>
    </row>
    <row r="92">
      <c r="A92" t="inlineStr">
        <is>
          <t>TX-000065</t>
        </is>
      </c>
      <c r="B92" s="11" t="n">
        <v>45765</v>
      </c>
      <c r="C92" t="inlineStr">
        <is>
          <t>2025-04</t>
        </is>
      </c>
      <c r="E92" t="inlineStr">
        <is>
          <t>Uncategorized</t>
        </is>
      </c>
      <c r="G92" t="inlineStr">
        <is>
          <t>Uncategorized</t>
        </is>
      </c>
      <c r="H92" t="inlineStr">
        <is>
          <t>FIKTIVE DIGITAL GMBH</t>
        </is>
      </c>
      <c r="I92" t="inlineStr">
        <is>
          <t>PAYMENT ID 000A00D0 BESTELLNUMMER AB00CD00</t>
        </is>
      </c>
      <c r="J92" s="5" t="n">
        <v>0</v>
      </c>
      <c r="K92" s="5" t="n">
        <v>33.7</v>
      </c>
      <c r="L92" s="5" t="n">
        <v>33.7</v>
      </c>
      <c r="M92" t="inlineStr">
        <is>
          <t>-</t>
        </is>
      </c>
      <c r="N92" t="inlineStr">
        <is>
          <t>export.202504.categorized.csv</t>
        </is>
      </c>
    </row>
    <row r="93">
      <c r="A93" t="inlineStr">
        <is>
          <t>TX-000066</t>
        </is>
      </c>
      <c r="B93" s="11" t="n">
        <v>45766</v>
      </c>
      <c r="C93" t="inlineStr">
        <is>
          <t>2025-04</t>
        </is>
      </c>
      <c r="E93" t="inlineStr">
        <is>
          <t>Uncategorized</t>
        </is>
      </c>
      <c r="G93" t="inlineStr">
        <is>
          <t>Uncategorized</t>
        </is>
      </c>
      <c r="H93" t="inlineStr">
        <is>
          <t>FIKTIVE POST AG</t>
        </is>
      </c>
      <c r="I93" t="inlineStr">
        <is>
          <t>PAYMENT ID AB0CD0EF00GH0IJ0 BESTELLNUMMER MYS_AB0CD0EF00GH0I</t>
        </is>
      </c>
      <c r="J93" s="5" t="n">
        <v>0</v>
      </c>
      <c r="K93" s="5" t="n">
        <v>12.5</v>
      </c>
      <c r="L93" s="5" t="n">
        <v>12.5</v>
      </c>
      <c r="M93" t="inlineStr">
        <is>
          <t>-</t>
        </is>
      </c>
      <c r="N93" t="inlineStr">
        <is>
          <t>export.202504.categorized.csv</t>
        </is>
      </c>
    </row>
    <row r="94">
      <c r="A94" t="inlineStr">
        <is>
          <t>TX-000086</t>
        </is>
      </c>
      <c r="B94" s="11" t="n">
        <v>45766</v>
      </c>
      <c r="C94" t="inlineStr">
        <is>
          <t>2025-04</t>
        </is>
      </c>
      <c r="D94" t="inlineStr">
        <is>
          <t>Expense</t>
        </is>
      </c>
      <c r="E94" t="inlineStr">
        <is>
          <t>Einkaufen</t>
        </is>
      </c>
      <c r="F94" t="inlineStr">
        <is>
          <t>Supermärkte</t>
        </is>
      </c>
      <c r="G94" t="inlineStr">
        <is>
          <t>Einkaufen / Supermärkte</t>
        </is>
      </c>
      <c r="H94" t="inlineStr">
        <is>
          <t>MIGROS M RIVERSIDE (7741)</t>
        </is>
      </c>
      <c r="J94" s="5" t="n">
        <v>0</v>
      </c>
      <c r="K94" s="5" t="n">
        <v>54.85</v>
      </c>
      <c r="L94" s="5" t="n">
        <v>54.85</v>
      </c>
      <c r="M94" t="inlineStr">
        <is>
          <t>supermarket_1</t>
        </is>
      </c>
      <c r="N94" t="inlineStr">
        <is>
          <t>export.202504.categorized.csv</t>
        </is>
      </c>
    </row>
    <row r="95">
      <c r="A95" t="inlineStr">
        <is>
          <t>TX-000067</t>
        </is>
      </c>
      <c r="B95" s="11" t="n">
        <v>45767</v>
      </c>
      <c r="C95" t="inlineStr">
        <is>
          <t>2025-04</t>
        </is>
      </c>
      <c r="E95" t="inlineStr">
        <is>
          <t>Uncategorized</t>
        </is>
      </c>
      <c r="G95" t="inlineStr">
        <is>
          <t>Uncategorized</t>
        </is>
      </c>
      <c r="H95" t="inlineStr">
        <is>
          <t>FIKTIVER SCHUHLADEN BIEL</t>
        </is>
      </c>
      <c r="J95" s="5" t="n">
        <v>49.9</v>
      </c>
      <c r="K95" s="5" t="n">
        <v>0</v>
      </c>
      <c r="L95" s="5" t="n">
        <v>-49.9</v>
      </c>
      <c r="M95" t="inlineStr">
        <is>
          <t>-</t>
        </is>
      </c>
      <c r="N95" t="inlineStr">
        <is>
          <t>export.202504.categorized.csv</t>
        </is>
      </c>
    </row>
    <row r="96">
      <c r="A96" t="inlineStr">
        <is>
          <t>TX-000068</t>
        </is>
      </c>
      <c r="B96" s="11" t="n">
        <v>45768</v>
      </c>
      <c r="C96" t="inlineStr">
        <is>
          <t>2025-04</t>
        </is>
      </c>
      <c r="E96" t="inlineStr">
        <is>
          <t>Uncategorized</t>
        </is>
      </c>
      <c r="G96" t="inlineStr">
        <is>
          <t>Uncategorized</t>
        </is>
      </c>
      <c r="H96" t="inlineStr">
        <is>
          <t>FIKTIVER FAHRSCHEIN BERLIN DEUTSCHLAND</t>
        </is>
      </c>
      <c r="J96" s="5" t="n">
        <v>19.15</v>
      </c>
      <c r="K96" s="5" t="n">
        <v>0</v>
      </c>
      <c r="L96" s="5" t="n">
        <v>-19.15</v>
      </c>
      <c r="M96" t="inlineStr">
        <is>
          <t>-</t>
        </is>
      </c>
      <c r="N96" t="inlineStr">
        <is>
          <t>export.202504.categorized.csv</t>
        </is>
      </c>
    </row>
    <row r="97">
      <c r="A97" t="inlineStr">
        <is>
          <t>TX-000069</t>
        </is>
      </c>
      <c r="B97" s="11" t="n">
        <v>45769</v>
      </c>
      <c r="C97" t="inlineStr">
        <is>
          <t>2025-04</t>
        </is>
      </c>
      <c r="D97" t="inlineStr">
        <is>
          <t>Expense</t>
        </is>
      </c>
      <c r="E97" t="inlineStr">
        <is>
          <t>Finanzen</t>
        </is>
      </c>
      <c r="F97" t="inlineStr">
        <is>
          <t>Bargeldbezug</t>
        </is>
      </c>
      <c r="G97" t="inlineStr">
        <is>
          <t>Finanzen / Bargeldbezug</t>
        </is>
      </c>
      <c r="H97" t="inlineStr">
        <is>
          <t>BAHNHOF</t>
        </is>
      </c>
      <c r="J97" s="5" t="n">
        <v>0</v>
      </c>
      <c r="K97" s="5" t="n">
        <v>143.5</v>
      </c>
      <c r="L97" s="5" t="n">
        <v>143.5</v>
      </c>
      <c r="M97" t="inlineStr">
        <is>
          <t>finance_1</t>
        </is>
      </c>
      <c r="N97" t="inlineStr">
        <is>
          <t>export.202504.categorized.csv</t>
        </is>
      </c>
    </row>
    <row r="98">
      <c r="A98" t="inlineStr">
        <is>
          <t>TX-000095.1</t>
        </is>
      </c>
      <c r="B98" s="11" t="n">
        <v>45772</v>
      </c>
      <c r="C98" t="inlineStr">
        <is>
          <t>2025-04</t>
        </is>
      </c>
      <c r="D98" t="inlineStr">
        <is>
          <t>Income</t>
        </is>
      </c>
      <c r="E98" t="inlineStr">
        <is>
          <t>Einkommen</t>
        </is>
      </c>
      <c r="F98" t="inlineStr">
        <is>
          <t>Familienzulage</t>
        </is>
      </c>
      <c r="G98" t="inlineStr">
        <is>
          <t>Einkommen / Familienzulage</t>
        </is>
      </c>
      <c r="H98" t="inlineStr">
        <is>
          <t>ALPENWERK AG INDUSTRIESTRASSE 12 CH-5430 WETTINGEN AG</t>
        </is>
      </c>
      <c r="I98" t="inlineStr">
        <is>
          <t>SALAER APRIL 2025 | SALA00000000000000000000000000000004 9988776655/1XXXX 250425CH0EXMPL04</t>
        </is>
      </c>
      <c r="J98" s="5" t="n">
        <v>200</v>
      </c>
      <c r="K98" s="5" t="n">
        <v>0</v>
      </c>
      <c r="L98" s="5" t="n">
        <v>-200</v>
      </c>
      <c r="M98" t="inlineStr">
        <is>
          <t>income_1</t>
        </is>
      </c>
      <c r="N98" t="inlineStr">
        <is>
          <t>export.202504.categorized.csv</t>
        </is>
      </c>
    </row>
    <row r="99">
      <c r="A99" t="inlineStr">
        <is>
          <t>TX-000095.2</t>
        </is>
      </c>
      <c r="B99" s="11" t="n">
        <v>45772</v>
      </c>
      <c r="C99" t="inlineStr">
        <is>
          <t>2025-04</t>
        </is>
      </c>
      <c r="D99" t="inlineStr">
        <is>
          <t>Income</t>
        </is>
      </c>
      <c r="E99" t="inlineStr">
        <is>
          <t>Einkommen</t>
        </is>
      </c>
      <c r="F99" t="inlineStr">
        <is>
          <t>Lohn</t>
        </is>
      </c>
      <c r="G99" t="inlineStr">
        <is>
          <t>Einkommen / Lohn</t>
        </is>
      </c>
      <c r="H99" t="inlineStr">
        <is>
          <t>ALPENWERK AG INDUSTRIESTRASSE 12 CH-5430 WETTINGEN AG</t>
        </is>
      </c>
      <c r="I99" t="inlineStr">
        <is>
          <t>SALAER APRIL 2025 | SALA00000000000000000000000000000004 9988776655/1XXXX 250425CH0EXMPL04</t>
        </is>
      </c>
      <c r="J99" s="5" t="n">
        <v>4000</v>
      </c>
      <c r="K99" s="5" t="n">
        <v>0</v>
      </c>
      <c r="L99" s="5" t="n">
        <v>-4000</v>
      </c>
      <c r="M99" t="inlineStr">
        <is>
          <t>income_1</t>
        </is>
      </c>
      <c r="N99" t="inlineStr">
        <is>
          <t>export.202504.categorized.csv</t>
        </is>
      </c>
    </row>
    <row r="100">
      <c r="A100" t="inlineStr">
        <is>
          <t>TX-000095.3</t>
        </is>
      </c>
      <c r="B100" s="11" t="n">
        <v>45772</v>
      </c>
      <c r="C100" t="inlineStr">
        <is>
          <t>2025-04</t>
        </is>
      </c>
      <c r="D100" t="inlineStr">
        <is>
          <t>Income</t>
        </is>
      </c>
      <c r="E100" t="inlineStr">
        <is>
          <t>Einkommen</t>
        </is>
      </c>
      <c r="F100" t="inlineStr">
        <is>
          <t>Bonus</t>
        </is>
      </c>
      <c r="G100" t="inlineStr">
        <is>
          <t>Einkommen / Bonus</t>
        </is>
      </c>
      <c r="H100" t="inlineStr">
        <is>
          <t>ALPENWERK AG INDUSTRIESTRASSE 12 CH-5430 WETTINGEN AG</t>
        </is>
      </c>
      <c r="I100" t="inlineStr">
        <is>
          <t>SALAER APRIL 2025 | SALA00000000000000000000000000000004 9988776655/1XXXX 250425CH0EXMPL04</t>
        </is>
      </c>
      <c r="J100" s="5" t="n">
        <v>1000</v>
      </c>
      <c r="K100" s="5" t="n">
        <v>0</v>
      </c>
      <c r="L100" s="5" t="n">
        <v>-1000</v>
      </c>
      <c r="M100" t="inlineStr">
        <is>
          <t>income_1</t>
        </is>
      </c>
      <c r="N100" t="inlineStr">
        <is>
          <t>export.202504.categorized.csv</t>
        </is>
      </c>
    </row>
    <row r="101">
      <c r="A101" t="inlineStr">
        <is>
          <t>TX-000095.4</t>
        </is>
      </c>
      <c r="B101" s="11" t="n">
        <v>45772</v>
      </c>
      <c r="C101" t="inlineStr">
        <is>
          <t>2025-04</t>
        </is>
      </c>
      <c r="D101" t="inlineStr">
        <is>
          <t>Refund</t>
        </is>
      </c>
      <c r="E101" t="inlineStr">
        <is>
          <t>Mobilität</t>
        </is>
      </c>
      <c r="F101" t="inlineStr">
        <is>
          <t>Öffentlicher Verkehr</t>
        </is>
      </c>
      <c r="G101" t="inlineStr">
        <is>
          <t>Mobilität / Öffentlicher Verkehr</t>
        </is>
      </c>
      <c r="H101" t="inlineStr">
        <is>
          <t>ALPENWERK AG INDUSTRIESTRASSE 12 CH-5430 WETTINGEN AG</t>
        </is>
      </c>
      <c r="I101" t="inlineStr">
        <is>
          <t>SALAER APRIL 2025 | SALA00000000000000000000000000000004 9988776655/1XXXX 250425CH0EXMPL04</t>
        </is>
      </c>
      <c r="J101" s="5" t="n">
        <v>45.5</v>
      </c>
      <c r="K101" s="5" t="n">
        <v>0</v>
      </c>
      <c r="L101" s="5" t="n">
        <v>-45.5</v>
      </c>
      <c r="M101" t="inlineStr">
        <is>
          <t>income_1</t>
        </is>
      </c>
      <c r="N101" t="inlineStr">
        <is>
          <t>export.202504.categorized.csv</t>
        </is>
      </c>
    </row>
    <row r="102">
      <c r="A102" t="inlineStr">
        <is>
          <t>TX-000087</t>
        </is>
      </c>
      <c r="B102" s="11" t="n">
        <v>45773</v>
      </c>
      <c r="C102" t="inlineStr">
        <is>
          <t>2025-04</t>
        </is>
      </c>
      <c r="D102" t="inlineStr">
        <is>
          <t>Expense</t>
        </is>
      </c>
      <c r="E102" t="inlineStr">
        <is>
          <t>Einkaufen</t>
        </is>
      </c>
      <c r="F102" t="inlineStr">
        <is>
          <t>Supermärkte</t>
        </is>
      </c>
      <c r="G102" t="inlineStr">
        <is>
          <t>Einkaufen / Supermärkte</t>
        </is>
      </c>
      <c r="H102" t="inlineStr">
        <is>
          <t>MIGROS MARKTHALLE (8812)</t>
        </is>
      </c>
      <c r="J102" s="5" t="n">
        <v>0</v>
      </c>
      <c r="K102" s="5" t="n">
        <v>121.6</v>
      </c>
      <c r="L102" s="5" t="n">
        <v>121.6</v>
      </c>
      <c r="M102" t="inlineStr">
        <is>
          <t>supermarket_1</t>
        </is>
      </c>
      <c r="N102" t="inlineStr">
        <is>
          <t>export.202504.categorized.csv</t>
        </is>
      </c>
    </row>
    <row r="103">
      <c r="A103" t="inlineStr">
        <is>
          <t>TX-000094</t>
        </is>
      </c>
      <c r="B103" s="11" t="n">
        <v>45773</v>
      </c>
      <c r="C103" t="inlineStr">
        <is>
          <t>2025-04</t>
        </is>
      </c>
      <c r="D103" t="inlineStr">
        <is>
          <t>Transfer</t>
        </is>
      </c>
      <c r="E103" t="inlineStr">
        <is>
          <t>Vorsorge</t>
        </is>
      </c>
      <c r="F103" t="inlineStr">
        <is>
          <t>Säule 3a</t>
        </is>
      </c>
      <c r="G103" t="inlineStr">
        <is>
          <t>Vorsorge / Säule 3a</t>
        </is>
      </c>
      <c r="H103" t="inlineStr">
        <is>
          <t>VORSORGESTIFTUNG MUSTERHAUSEN SENDER REFERENZ: SAEULE 3A</t>
        </is>
      </c>
      <c r="I103" t="inlineStr">
        <is>
          <t>90-11223344</t>
        </is>
      </c>
      <c r="J103" s="5" t="n">
        <v>0</v>
      </c>
      <c r="K103" s="5" t="n">
        <v>200</v>
      </c>
      <c r="L103" s="5" t="n">
        <v>200</v>
      </c>
      <c r="M103" t="inlineStr">
        <is>
          <t>savings_1</t>
        </is>
      </c>
      <c r="N103" t="inlineStr">
        <is>
          <t>export.202504.categorized.csv</t>
        </is>
      </c>
    </row>
    <row r="104">
      <c r="A104" t="inlineStr">
        <is>
          <t>TX-000088</t>
        </is>
      </c>
      <c r="B104" s="11" t="n">
        <v>45777</v>
      </c>
      <c r="C104" t="inlineStr">
        <is>
          <t>2025-04</t>
        </is>
      </c>
      <c r="D104" t="inlineStr">
        <is>
          <t>Expense</t>
        </is>
      </c>
      <c r="E104" t="inlineStr">
        <is>
          <t>Wohnen</t>
        </is>
      </c>
      <c r="F104" t="inlineStr">
        <is>
          <t>Miete und Hypothek</t>
        </is>
      </c>
      <c r="G104" t="inlineStr">
        <is>
          <t>Wohnen / Miete und Hypothek</t>
        </is>
      </c>
      <c r="H104" t="inlineStr">
        <is>
          <t>FINANZVERWALTUNG STADT SOLOTHURN</t>
        </is>
      </c>
      <c r="I104" t="inlineStr">
        <is>
          <t>2025/05/01 / 7045128</t>
        </is>
      </c>
      <c r="J104" s="5" t="n">
        <v>0</v>
      </c>
      <c r="K104" s="5" t="n">
        <v>1774</v>
      </c>
      <c r="L104" s="5" t="n">
        <v>1774</v>
      </c>
      <c r="M104" t="inlineStr">
        <is>
          <t>housing_1</t>
        </is>
      </c>
      <c r="N104" t="inlineStr">
        <is>
          <t>export.202504.categorized.csv</t>
        </is>
      </c>
    </row>
  </sheetData>
  <autoFilter ref="A1:N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12" customWidth="1" min="4" max="4"/>
    <col width="8" customWidth="1" min="5" max="5"/>
    <col width="8" customWidth="1" min="6" max="6"/>
    <col width="8" customWidth="1" min="7" max="7"/>
    <col width="6" customWidth="1" min="8" max="8"/>
  </cols>
  <sheetData>
    <row r="1">
      <c r="A1" s="4" t="inlineStr">
        <is>
          <t>Category</t>
        </is>
      </c>
      <c r="B1" s="4" t="inlineStr">
        <is>
          <t>Subcategory</t>
        </is>
      </c>
      <c r="C1" s="4" t="inlineStr">
        <is>
          <t>Payee</t>
        </is>
      </c>
      <c r="D1" s="4" t="inlineStr">
        <is>
          <t>Net</t>
        </is>
      </c>
      <c r="E1" s="4" t="inlineStr">
        <is>
          <t>Count</t>
        </is>
      </c>
      <c r="F1" s="4" t="inlineStr">
        <is>
          <t>Months</t>
        </is>
      </c>
      <c r="G1" s="4" t="inlineStr">
        <is>
          <t>Share</t>
        </is>
      </c>
      <c r="H1" s="4" t="inlineStr">
        <is>
          <t>Rank</t>
        </is>
      </c>
    </row>
    <row r="2">
      <c r="A2" t="inlineStr">
        <is>
          <t>Wohnen</t>
        </is>
      </c>
      <c r="B2" t="inlineStr">
        <is>
          <t>Miete und Hypothek</t>
        </is>
      </c>
      <c r="C2" t="inlineStr">
        <is>
          <t>FINANZVERWALTUNG STADT SOLOTHURN</t>
        </is>
      </c>
      <c r="D2" s="5" t="n">
        <v>7096</v>
      </c>
      <c r="E2" t="n">
        <v>4</v>
      </c>
      <c r="F2" t="n">
        <v>4</v>
      </c>
      <c r="G2" s="12" t="n">
        <v>1</v>
      </c>
      <c r="H2" t="n">
        <v>1</v>
      </c>
    </row>
    <row r="3">
      <c r="A3" t="inlineStr">
        <is>
          <t>Einkaufen</t>
        </is>
      </c>
      <c r="B3" t="inlineStr">
        <is>
          <t>Supermärkte</t>
        </is>
      </c>
      <c r="C3" t="inlineStr">
        <is>
          <t>MIGROS MARKTHALLE</t>
        </is>
      </c>
      <c r="D3" s="5" t="n">
        <v>804.7</v>
      </c>
      <c r="E3" t="n">
        <v>9</v>
      </c>
      <c r="F3" t="n">
        <v>4</v>
      </c>
      <c r="G3" s="12" t="n">
        <v>0.6189</v>
      </c>
      <c r="H3" t="n">
        <v>1</v>
      </c>
    </row>
    <row r="4">
      <c r="A4" t="inlineStr">
        <is>
          <t>Einkaufen</t>
        </is>
      </c>
      <c r="B4" t="inlineStr">
        <is>
          <t>Supermärkte</t>
        </is>
      </c>
      <c r="C4" t="inlineStr">
        <is>
          <t>COOP-5510 RIVERSIDE REST.</t>
        </is>
      </c>
      <c r="D4" s="5" t="n">
        <v>286.4</v>
      </c>
      <c r="E4" t="n">
        <v>4</v>
      </c>
      <c r="F4" t="n">
        <v>4</v>
      </c>
      <c r="G4" s="12" t="n">
        <v>0.2203</v>
      </c>
      <c r="H4" t="n">
        <v>2</v>
      </c>
    </row>
    <row r="5">
      <c r="A5" t="inlineStr">
        <is>
          <t>Einkaufen</t>
        </is>
      </c>
      <c r="B5" t="inlineStr">
        <is>
          <t>Supermärkte</t>
        </is>
      </c>
      <c r="C5" t="inlineStr">
        <is>
          <t>MIGROS M RIVERSIDE</t>
        </is>
      </c>
      <c r="D5" s="5" t="n">
        <v>201.4</v>
      </c>
      <c r="E5" t="n">
        <v>6</v>
      </c>
      <c r="F5" t="n">
        <v>4</v>
      </c>
      <c r="G5" s="12" t="n">
        <v>0.1549</v>
      </c>
      <c r="H5" t="n">
        <v>3</v>
      </c>
    </row>
    <row r="6">
      <c r="A6" t="inlineStr">
        <is>
          <t>Einkaufen</t>
        </is>
      </c>
      <c r="B6" t="inlineStr">
        <is>
          <t>Supermärkte</t>
        </is>
      </c>
      <c r="C6" t="inlineStr">
        <is>
          <t>COOP - 7811 QUAI WEST</t>
        </is>
      </c>
      <c r="D6" s="5" t="n">
        <v>7.75</v>
      </c>
      <c r="E6" t="n">
        <v>1</v>
      </c>
      <c r="F6" t="n">
        <v>1</v>
      </c>
      <c r="G6" s="12" t="n">
        <v>0.006</v>
      </c>
      <c r="H6" t="n">
        <v>4</v>
      </c>
    </row>
    <row r="7">
      <c r="A7" t="inlineStr">
        <is>
          <t>Leben</t>
        </is>
      </c>
      <c r="B7" t="inlineStr">
        <is>
          <t>Familie</t>
        </is>
      </c>
      <c r="C7" t="inlineStr">
        <is>
          <t>FAMILIENKASSE MUSTERHAUSEN</t>
        </is>
      </c>
      <c r="D7" s="5" t="n">
        <v>200</v>
      </c>
      <c r="E7" t="n">
        <v>1</v>
      </c>
      <c r="F7" t="n">
        <v>1</v>
      </c>
      <c r="G7" s="12" t="n">
        <v>0.9804</v>
      </c>
      <c r="H7" t="n">
        <v>1</v>
      </c>
    </row>
    <row r="8">
      <c r="A8" t="inlineStr">
        <is>
          <t>Leben</t>
        </is>
      </c>
      <c r="B8" t="inlineStr">
        <is>
          <t>Familie</t>
        </is>
      </c>
      <c r="C8" t="inlineStr">
        <is>
          <t>ZMITTAG 13.1.</t>
        </is>
      </c>
      <c r="D8" s="5" t="n">
        <v>19</v>
      </c>
      <c r="E8" t="n">
        <v>1</v>
      </c>
      <c r="F8" t="n">
        <v>1</v>
      </c>
      <c r="G8" s="12" t="n">
        <v>0.0931</v>
      </c>
      <c r="H8" t="n">
        <v>2</v>
      </c>
    </row>
    <row r="9">
      <c r="A9" t="inlineStr">
        <is>
          <t>Leben</t>
        </is>
      </c>
      <c r="B9" t="inlineStr">
        <is>
          <t>Familie</t>
        </is>
      </c>
      <c r="C9" t="inlineStr">
        <is>
          <t>MUSTER UND BEISPIEL GEMEINSCHAFTSKONTO MUSTERWEG 1 4600 OLTEN</t>
        </is>
      </c>
      <c r="D9" s="5" t="n">
        <v>-15</v>
      </c>
      <c r="E9" t="n">
        <v>1</v>
      </c>
      <c r="F9" t="n">
        <v>1</v>
      </c>
      <c r="G9" s="12" t="n">
        <v>-0.0735</v>
      </c>
      <c r="H9" t="n">
        <v>3</v>
      </c>
    </row>
    <row r="10">
      <c r="A10" t="inlineStr">
        <is>
          <t>Freizeit</t>
        </is>
      </c>
      <c r="B10" t="inlineStr">
        <is>
          <t>Gastronomie</t>
        </is>
      </c>
      <c r="C10" t="inlineStr">
        <is>
          <t>YOOJI'S ROSENGARTEN</t>
        </is>
      </c>
      <c r="D10" s="5" t="n">
        <v>62.3</v>
      </c>
      <c r="E10" t="n">
        <v>3</v>
      </c>
      <c r="F10" t="n">
        <v>1</v>
      </c>
      <c r="G10" s="12" t="n">
        <v>0.35</v>
      </c>
      <c r="H10" t="n">
        <v>1</v>
      </c>
    </row>
    <row r="11">
      <c r="A11" t="inlineStr">
        <is>
          <t>Freizeit</t>
        </is>
      </c>
      <c r="B11" t="inlineStr">
        <is>
          <t>Gastronomie</t>
        </is>
      </c>
      <c r="C11" t="inlineStr">
        <is>
          <t>+41796666222 KEBAB, IMBISS</t>
        </is>
      </c>
      <c r="D11" s="5" t="n">
        <v>27.5</v>
      </c>
      <c r="E11" t="n">
        <v>2</v>
      </c>
      <c r="F11" t="n">
        <v>1</v>
      </c>
      <c r="G11" s="12" t="n">
        <v>0.1545</v>
      </c>
      <c r="H11" t="n">
        <v>2</v>
      </c>
    </row>
    <row r="12">
      <c r="A12" t="inlineStr">
        <is>
          <t>Freizeit</t>
        </is>
      </c>
      <c r="B12" t="inlineStr">
        <is>
          <t>Gastronomie</t>
        </is>
      </c>
      <c r="C12" t="inlineStr">
        <is>
          <t>COOP-5510 RIVERSIDE REST.</t>
        </is>
      </c>
      <c r="D12" s="5" t="n">
        <v>24.5</v>
      </c>
      <c r="E12" t="n">
        <v>1</v>
      </c>
      <c r="F12" t="n">
        <v>1</v>
      </c>
      <c r="G12" s="12" t="n">
        <v>0.1376</v>
      </c>
      <c r="H12" t="n">
        <v>3</v>
      </c>
    </row>
    <row r="13">
      <c r="A13" t="inlineStr">
        <is>
          <t>Freizeit</t>
        </is>
      </c>
      <c r="B13" t="inlineStr">
        <is>
          <t>Gastronomie</t>
        </is>
      </c>
      <c r="C13" t="inlineStr">
        <is>
          <t>+41790000000 MAX MUSTER</t>
        </is>
      </c>
      <c r="D13" s="5" t="n">
        <v>20</v>
      </c>
      <c r="E13" t="n">
        <v>1</v>
      </c>
      <c r="F13" t="n">
        <v>1</v>
      </c>
      <c r="G13" s="12" t="n">
        <v>0.1124</v>
      </c>
      <c r="H13" t="n">
        <v>4</v>
      </c>
    </row>
    <row r="14">
      <c r="A14" t="inlineStr">
        <is>
          <t>Freizeit</t>
        </is>
      </c>
      <c r="B14" t="inlineStr">
        <is>
          <t>Gastronomie</t>
        </is>
      </c>
      <c r="C14" t="inlineStr">
        <is>
          <t>SIGNOR ROSSI</t>
        </is>
      </c>
      <c r="D14" s="5" t="n">
        <v>20</v>
      </c>
      <c r="E14" t="n">
        <v>1</v>
      </c>
      <c r="F14" t="n">
        <v>1</v>
      </c>
      <c r="G14" s="12" t="n">
        <v>0.1124</v>
      </c>
      <c r="H14" t="n">
        <v>5</v>
      </c>
    </row>
    <row r="15">
      <c r="A15" t="inlineStr">
        <is>
          <t>Freizeit</t>
        </is>
      </c>
      <c r="B15" t="inlineStr">
        <is>
          <t>Gastronomie</t>
        </is>
      </c>
      <c r="C15" t="inlineStr">
        <is>
          <t>MIGROS CITY TAKE AWAY</t>
        </is>
      </c>
      <c r="D15" s="5" t="n">
        <v>10.7</v>
      </c>
      <c r="E15" t="n">
        <v>2</v>
      </c>
      <c r="F15" t="n">
        <v>1</v>
      </c>
      <c r="G15" s="12" t="n">
        <v>0.0601</v>
      </c>
      <c r="H15" t="n">
        <v>6</v>
      </c>
    </row>
    <row r="16">
      <c r="A16" t="inlineStr">
        <is>
          <t>Freizeit</t>
        </is>
      </c>
      <c r="B16" t="inlineStr">
        <is>
          <t>Gastronomie</t>
        </is>
      </c>
      <c r="C16" t="inlineStr">
        <is>
          <t>COFFEE AND PLANTS</t>
        </is>
      </c>
      <c r="D16" s="5" t="n">
        <v>10</v>
      </c>
      <c r="E16" t="n">
        <v>1</v>
      </c>
      <c r="F16" t="n">
        <v>1</v>
      </c>
      <c r="G16" s="12" t="n">
        <v>0.0562</v>
      </c>
      <c r="H16" t="n">
        <v>7</v>
      </c>
    </row>
    <row r="17">
      <c r="A17" t="inlineStr">
        <is>
          <t>Freizeit</t>
        </is>
      </c>
      <c r="B17" t="inlineStr">
        <is>
          <t>Gastronomie</t>
        </is>
      </c>
      <c r="C17" t="inlineStr">
        <is>
          <t>MUSTER CAFE</t>
        </is>
      </c>
      <c r="D17" s="5" t="n">
        <v>3</v>
      </c>
      <c r="E17" t="n">
        <v>1</v>
      </c>
      <c r="F17" t="n">
        <v>1</v>
      </c>
      <c r="G17" s="12" t="n">
        <v>0.0169</v>
      </c>
      <c r="H17" t="n">
        <v>8</v>
      </c>
    </row>
    <row r="18">
      <c r="A18" t="inlineStr">
        <is>
          <t>Einkaufen</t>
        </is>
      </c>
      <c r="B18" t="inlineStr">
        <is>
          <t>Detail-Lebensmittel</t>
        </is>
      </c>
      <c r="C18" t="inlineStr">
        <is>
          <t>BÄCKEREI HUG</t>
        </is>
      </c>
      <c r="D18" s="5" t="n">
        <v>40</v>
      </c>
      <c r="E18" t="n">
        <v>4</v>
      </c>
      <c r="F18" t="n">
        <v>1</v>
      </c>
      <c r="G18" s="12" t="n">
        <v>0.2391</v>
      </c>
      <c r="H18" t="n">
        <v>1</v>
      </c>
    </row>
    <row r="19">
      <c r="A19" t="inlineStr">
        <is>
          <t>Einkaufen</t>
        </is>
      </c>
      <c r="B19" t="inlineStr">
        <is>
          <t>Detail-Lebensmittel</t>
        </is>
      </c>
      <c r="C19" t="inlineStr">
        <is>
          <t>WAKARA GMBH</t>
        </is>
      </c>
      <c r="D19" s="5" t="n">
        <v>27.6</v>
      </c>
      <c r="E19" t="n">
        <v>1</v>
      </c>
      <c r="F19" t="n">
        <v>1</v>
      </c>
      <c r="G19" s="12" t="n">
        <v>0.165</v>
      </c>
      <c r="H19" t="n">
        <v>2</v>
      </c>
    </row>
    <row r="20">
      <c r="A20" t="inlineStr">
        <is>
          <t>Einkaufen</t>
        </is>
      </c>
      <c r="B20" t="inlineStr">
        <is>
          <t>Detail-Lebensmittel</t>
        </is>
      </c>
      <c r="C20" t="inlineStr">
        <is>
          <t>YUMI HANA</t>
        </is>
      </c>
      <c r="D20" s="5" t="n">
        <v>26.8</v>
      </c>
      <c r="E20" t="n">
        <v>1</v>
      </c>
      <c r="F20" t="n">
        <v>1</v>
      </c>
      <c r="G20" s="12" t="n">
        <v>0.1602</v>
      </c>
      <c r="H20" t="n">
        <v>3</v>
      </c>
    </row>
    <row r="21">
      <c r="A21" t="inlineStr">
        <is>
          <t>Einkaufen</t>
        </is>
      </c>
      <c r="B21" t="inlineStr">
        <is>
          <t>Detail-Lebensmittel</t>
        </is>
      </c>
      <c r="C21" t="inlineStr">
        <is>
          <t>CONFISERIE SPRÜNGLI AG</t>
        </is>
      </c>
      <c r="D21" s="5" t="n">
        <v>22.05</v>
      </c>
      <c r="E21" t="n">
        <v>1</v>
      </c>
      <c r="F21" t="n">
        <v>1</v>
      </c>
      <c r="G21" s="12" t="n">
        <v>0.1318</v>
      </c>
      <c r="H21" t="n">
        <v>4</v>
      </c>
    </row>
    <row r="22">
      <c r="A22" t="inlineStr">
        <is>
          <t>Einkaufen</t>
        </is>
      </c>
      <c r="B22" t="inlineStr">
        <is>
          <t>Detail-Lebensmittel</t>
        </is>
      </c>
      <c r="C22" t="inlineStr">
        <is>
          <t>YUMIHANA</t>
        </is>
      </c>
      <c r="D22" s="5" t="n">
        <v>18.55</v>
      </c>
      <c r="E22" t="n">
        <v>1</v>
      </c>
      <c r="F22" t="n">
        <v>1</v>
      </c>
      <c r="G22" s="12" t="n">
        <v>0.1109</v>
      </c>
      <c r="H22" t="n">
        <v>5</v>
      </c>
    </row>
    <row r="23">
      <c r="A23" t="inlineStr">
        <is>
          <t>Einkaufen</t>
        </is>
      </c>
      <c r="B23" t="inlineStr">
        <is>
          <t>Detail-Lebensmittel</t>
        </is>
      </c>
      <c r="C23" t="inlineStr">
        <is>
          <t>CITY TANKSTELLE</t>
        </is>
      </c>
      <c r="D23" s="5" t="n">
        <v>16.89</v>
      </c>
      <c r="E23" t="n">
        <v>2</v>
      </c>
      <c r="F23" t="n">
        <v>1</v>
      </c>
      <c r="G23" s="12" t="n">
        <v>0.101</v>
      </c>
      <c r="H23" t="n">
        <v>6</v>
      </c>
    </row>
    <row r="24">
      <c r="A24" t="inlineStr">
        <is>
          <t>Einkaufen</t>
        </is>
      </c>
      <c r="B24" t="inlineStr">
        <is>
          <t>Detail-Lebensmittel</t>
        </is>
      </c>
      <c r="C24" t="inlineStr">
        <is>
          <t>SUMUP *BACKEREI ZUR K</t>
        </is>
      </c>
      <c r="D24" s="5" t="n">
        <v>11.1</v>
      </c>
      <c r="E24" t="n">
        <v>1</v>
      </c>
      <c r="F24" t="n">
        <v>1</v>
      </c>
      <c r="G24" s="12" t="n">
        <v>0.0664</v>
      </c>
      <c r="H24" t="n">
        <v>7</v>
      </c>
    </row>
    <row r="25">
      <c r="A25" t="inlineStr">
        <is>
          <t>Einkaufen</t>
        </is>
      </c>
      <c r="B25" t="inlineStr">
        <is>
          <t>Detail-Lebensmittel</t>
        </is>
      </c>
      <c r="C25" t="inlineStr">
        <is>
          <t>BRANKOVIC BREZELSTUBE</t>
        </is>
      </c>
      <c r="D25" s="5" t="n">
        <v>4.3</v>
      </c>
      <c r="E25" t="n">
        <v>1</v>
      </c>
      <c r="F25" t="n">
        <v>1</v>
      </c>
      <c r="G25" s="12" t="n">
        <v>0.0257</v>
      </c>
      <c r="H25" t="n">
        <v>8</v>
      </c>
    </row>
    <row r="26">
      <c r="A26" t="inlineStr">
        <is>
          <t>Finanzen</t>
        </is>
      </c>
      <c r="B26" t="inlineStr">
        <is>
          <t>Bargeldbezug</t>
        </is>
      </c>
      <c r="C26" t="inlineStr">
        <is>
          <t>BAHNHOF</t>
        </is>
      </c>
      <c r="D26" s="5" t="n">
        <v>143.5</v>
      </c>
      <c r="E26" t="n">
        <v>1</v>
      </c>
      <c r="F26" t="n">
        <v>1</v>
      </c>
      <c r="G26" s="12" t="n">
        <v>1</v>
      </c>
      <c r="H26" t="n">
        <v>1</v>
      </c>
    </row>
    <row r="27">
      <c r="A27" t="inlineStr">
        <is>
          <t>Wohnen</t>
        </is>
      </c>
      <c r="B27" t="inlineStr">
        <is>
          <t>Haushalt</t>
        </is>
      </c>
      <c r="C27" t="inlineStr">
        <is>
          <t>COOP-5510 RIVERSIDE REST.</t>
        </is>
      </c>
      <c r="D27" s="5" t="n">
        <v>31.2</v>
      </c>
      <c r="E27" t="n">
        <v>1</v>
      </c>
      <c r="F27" t="n">
        <v>1</v>
      </c>
      <c r="G27" s="12" t="n">
        <v>0.3547</v>
      </c>
      <c r="H27" t="n">
        <v>1</v>
      </c>
    </row>
    <row r="28">
      <c r="A28" t="inlineStr">
        <is>
          <t>Wohnen</t>
        </is>
      </c>
      <c r="B28" t="inlineStr">
        <is>
          <t>Haushalt</t>
        </is>
      </c>
      <c r="C28" t="inlineStr">
        <is>
          <t>MANOR AG - 771 (CENTRA)</t>
        </is>
      </c>
      <c r="D28" s="5" t="n">
        <v>23.95</v>
      </c>
      <c r="E28" t="n">
        <v>1</v>
      </c>
      <c r="F28" t="n">
        <v>1</v>
      </c>
      <c r="G28" s="12" t="n">
        <v>0.2723</v>
      </c>
      <c r="H28" t="n">
        <v>2</v>
      </c>
    </row>
    <row r="29">
      <c r="A29" t="inlineStr">
        <is>
          <t>Wohnen</t>
        </is>
      </c>
      <c r="B29" t="inlineStr">
        <is>
          <t>Haushalt</t>
        </is>
      </c>
      <c r="C29" t="inlineStr">
        <is>
          <t>MIGROS MARKTHALLE</t>
        </is>
      </c>
      <c r="D29" s="5" t="n">
        <v>18.9</v>
      </c>
      <c r="E29" t="n">
        <v>1</v>
      </c>
      <c r="F29" t="n">
        <v>1</v>
      </c>
      <c r="G29" s="12" t="n">
        <v>0.2149</v>
      </c>
      <c r="H29" t="n">
        <v>3</v>
      </c>
    </row>
    <row r="30">
      <c r="A30" t="inlineStr">
        <is>
          <t>Wohnen</t>
        </is>
      </c>
      <c r="B30" t="inlineStr">
        <is>
          <t>Haushalt</t>
        </is>
      </c>
      <c r="C30" t="inlineStr">
        <is>
          <t>ONLINE HAUSHALT AG</t>
        </is>
      </c>
      <c r="D30" s="5" t="n">
        <v>13.9</v>
      </c>
      <c r="E30" t="n">
        <v>1</v>
      </c>
      <c r="F30" t="n">
        <v>1</v>
      </c>
      <c r="G30" s="12" t="n">
        <v>0.158</v>
      </c>
      <c r="H30" t="n">
        <v>4</v>
      </c>
    </row>
    <row r="31">
      <c r="A31" t="inlineStr">
        <is>
          <t>Leben</t>
        </is>
      </c>
      <c r="B31" t="inlineStr">
        <is>
          <t>Styling und Wellness</t>
        </is>
      </c>
      <c r="C31" t="inlineStr">
        <is>
          <t>SUMUP *COIFFEUR HAIRCUT</t>
        </is>
      </c>
      <c r="D31" s="5" t="n">
        <v>50</v>
      </c>
      <c r="E31" t="n">
        <v>1</v>
      </c>
      <c r="F31" t="n">
        <v>1</v>
      </c>
      <c r="G31" s="12" t="n">
        <v>0.6258</v>
      </c>
      <c r="H31" t="n">
        <v>1</v>
      </c>
    </row>
    <row r="32">
      <c r="A32" t="inlineStr">
        <is>
          <t>Leben</t>
        </is>
      </c>
      <c r="B32" t="inlineStr">
        <is>
          <t>Styling und Wellness</t>
        </is>
      </c>
      <c r="C32" t="inlineStr">
        <is>
          <t>THE BODY SHOP</t>
        </is>
      </c>
      <c r="D32" s="5" t="n">
        <v>29.9</v>
      </c>
      <c r="E32" t="n">
        <v>2</v>
      </c>
      <c r="F32" t="n">
        <v>1</v>
      </c>
      <c r="G32" s="12" t="n">
        <v>0.3742</v>
      </c>
      <c r="H32" t="n">
        <v>2</v>
      </c>
    </row>
    <row r="33">
      <c r="A33" t="inlineStr">
        <is>
          <t>Wohnen</t>
        </is>
      </c>
      <c r="B33" t="inlineStr">
        <is>
          <t>Kommunikation</t>
        </is>
      </c>
      <c r="C33" t="inlineStr">
        <is>
          <t>SUNRISE GMBH POSTFACH 8050 ZURICH</t>
        </is>
      </c>
      <c r="D33" s="5" t="n">
        <v>49.6</v>
      </c>
      <c r="E33" t="n">
        <v>1</v>
      </c>
      <c r="F33" t="n">
        <v>1</v>
      </c>
      <c r="G33" s="12" t="n">
        <v>0.7058</v>
      </c>
      <c r="H33" t="n">
        <v>1</v>
      </c>
    </row>
    <row r="34">
      <c r="A34" t="inlineStr">
        <is>
          <t>Wohnen</t>
        </is>
      </c>
      <c r="B34" t="inlineStr">
        <is>
          <t>Kommunikation</t>
        </is>
      </c>
      <c r="C34" t="inlineStr">
        <is>
          <t>CLOUDSERVICE INC SAN</t>
        </is>
      </c>
      <c r="D34" s="5" t="n">
        <v>18.67</v>
      </c>
      <c r="E34" t="n">
        <v>1</v>
      </c>
      <c r="F34" t="n">
        <v>1</v>
      </c>
      <c r="G34" s="12" t="n">
        <v>0.2657</v>
      </c>
      <c r="H34" t="n">
        <v>2</v>
      </c>
    </row>
    <row r="35">
      <c r="A35" t="inlineStr">
        <is>
          <t>Wohnen</t>
        </is>
      </c>
      <c r="B35" t="inlineStr">
        <is>
          <t>Kommunikation</t>
        </is>
      </c>
      <c r="C35" t="inlineStr">
        <is>
          <t>APPLE.COM/BILL</t>
        </is>
      </c>
      <c r="D35" s="5" t="n">
        <v>2</v>
      </c>
      <c r="E35" t="n">
        <v>1</v>
      </c>
      <c r="F35" t="n">
        <v>1</v>
      </c>
      <c r="G35" s="12" t="n">
        <v>0.0285</v>
      </c>
      <c r="H35" t="n">
        <v>3</v>
      </c>
    </row>
    <row r="36">
      <c r="A36" t="inlineStr">
        <is>
          <t>Leben</t>
        </is>
      </c>
      <c r="B36" t="inlineStr">
        <is>
          <t>Sonstiges Leben</t>
        </is>
      </c>
      <c r="C36" t="inlineStr">
        <is>
          <t>BYRO</t>
        </is>
      </c>
      <c r="D36" s="5" t="n">
        <v>36.8</v>
      </c>
      <c r="E36" t="n">
        <v>1</v>
      </c>
      <c r="F36" t="n">
        <v>1</v>
      </c>
      <c r="G36" s="12" t="n">
        <v>1</v>
      </c>
      <c r="H36" t="n">
        <v>1</v>
      </c>
    </row>
    <row r="37">
      <c r="A37" t="inlineStr">
        <is>
          <t>Mobilität</t>
        </is>
      </c>
      <c r="B37" t="inlineStr">
        <is>
          <t>Privater Verkehr</t>
        </is>
      </c>
      <c r="C37" t="inlineStr">
        <is>
          <t>MOBILITY MUSTER GENOSSENSCHAFT 6343 ROTKREUZ</t>
        </is>
      </c>
      <c r="D37" s="5" t="n">
        <v>26.7</v>
      </c>
      <c r="E37" t="n">
        <v>1</v>
      </c>
      <c r="F37" t="n">
        <v>1</v>
      </c>
      <c r="G37" s="12" t="n">
        <v>1</v>
      </c>
      <c r="H37" t="n">
        <v>1</v>
      </c>
    </row>
    <row r="38">
      <c r="A38" t="inlineStr">
        <is>
          <t>Finanzen</t>
        </is>
      </c>
      <c r="B38" t="inlineStr">
        <is>
          <t>Spenden</t>
        </is>
      </c>
      <c r="C38" t="inlineStr">
        <is>
          <t>ANONYMISIERTER VEREIN MITTEILUNGEN: DEMO-ZWECK JAHRESBEITRAG</t>
        </is>
      </c>
      <c r="D38" s="5" t="n">
        <v>25</v>
      </c>
      <c r="E38" t="n">
        <v>1</v>
      </c>
      <c r="F38" t="n">
        <v>1</v>
      </c>
      <c r="G38" s="12" t="n">
        <v>1</v>
      </c>
      <c r="H38" t="n">
        <v>1</v>
      </c>
    </row>
    <row r="39">
      <c r="A39" t="inlineStr">
        <is>
          <t>Leben</t>
        </is>
      </c>
      <c r="B39" t="inlineStr">
        <is>
          <t>Gesundheit</t>
        </is>
      </c>
      <c r="C39" t="inlineStr">
        <is>
          <t>BAHNHOF APOTHEKE AG</t>
        </is>
      </c>
      <c r="D39" s="5" t="n">
        <v>24.4</v>
      </c>
      <c r="E39" t="n">
        <v>1</v>
      </c>
      <c r="F39" t="n">
        <v>1</v>
      </c>
      <c r="G39" s="12" t="n">
        <v>1</v>
      </c>
      <c r="H39" t="n">
        <v>1</v>
      </c>
    </row>
    <row r="40">
      <c r="A40" t="inlineStr">
        <is>
          <t>Freizeit</t>
        </is>
      </c>
      <c r="B40" t="inlineStr">
        <is>
          <t>Kultur</t>
        </is>
      </c>
      <c r="C40" t="inlineStr">
        <is>
          <t>BYRO</t>
        </is>
      </c>
      <c r="D40" s="5" t="n">
        <v>15</v>
      </c>
      <c r="E40" t="n">
        <v>1</v>
      </c>
      <c r="F40" t="n">
        <v>1</v>
      </c>
      <c r="G40" s="12" t="n">
        <v>1</v>
      </c>
      <c r="H40" t="n">
        <v>1</v>
      </c>
    </row>
    <row r="41">
      <c r="A41" t="inlineStr">
        <is>
          <t>Einkaufen</t>
        </is>
      </c>
      <c r="B41" t="inlineStr">
        <is>
          <t>Sonstiges Einkaufen</t>
        </is>
      </c>
      <c r="C41" t="inlineStr">
        <is>
          <t>KKIOSK 45810</t>
        </is>
      </c>
      <c r="D41" s="5" t="n">
        <v>14.65</v>
      </c>
      <c r="E41" t="n">
        <v>2</v>
      </c>
      <c r="F41" t="n">
        <v>1</v>
      </c>
      <c r="G41" s="12" t="n">
        <v>1</v>
      </c>
      <c r="H41" t="n">
        <v>1</v>
      </c>
    </row>
    <row r="42">
      <c r="A42" t="inlineStr">
        <is>
          <t>Wohnen</t>
        </is>
      </c>
      <c r="B42" t="inlineStr">
        <is>
          <t>Handwerk und Garten</t>
        </is>
      </c>
      <c r="C42" t="inlineStr">
        <is>
          <t>JUMBO-7782 INDUSTRIEPARK</t>
        </is>
      </c>
      <c r="D42" s="5" t="n">
        <v>10.9</v>
      </c>
      <c r="E42" t="n">
        <v>1</v>
      </c>
      <c r="F42" t="n">
        <v>1</v>
      </c>
      <c r="G42" s="12" t="n">
        <v>1</v>
      </c>
      <c r="H42" t="n">
        <v>1</v>
      </c>
    </row>
    <row r="43">
      <c r="A43" t="inlineStr">
        <is>
          <t>Finanzen</t>
        </is>
      </c>
      <c r="B43" t="inlineStr">
        <is>
          <t>Fees</t>
        </is>
      </c>
      <c r="C43" t="inlineStr">
        <is>
          <t>PREIS FÜR BANKPAKET SMART 02.2025</t>
        </is>
      </c>
      <c r="D43" s="5" t="n">
        <v>5</v>
      </c>
      <c r="E43" t="n">
        <v>1</v>
      </c>
      <c r="F43" t="n">
        <v>1</v>
      </c>
      <c r="G43" s="12" t="n">
        <v>1</v>
      </c>
      <c r="H43" t="n">
        <v>1</v>
      </c>
    </row>
    <row r="44">
      <c r="A44" t="inlineStr">
        <is>
          <t>Rückerstattungen</t>
        </is>
      </c>
      <c r="C44" t="inlineStr">
        <is>
          <t>+41790000000 MAX MUSTER</t>
        </is>
      </c>
      <c r="D44" s="5" t="n">
        <v>-1</v>
      </c>
      <c r="E44" t="n">
        <v>1</v>
      </c>
      <c r="F44" t="n">
        <v>1</v>
      </c>
      <c r="G44" s="12" t="n">
        <v>1</v>
      </c>
      <c r="H44" t="n">
        <v>1</v>
      </c>
    </row>
    <row r="45">
      <c r="A45" t="inlineStr">
        <is>
          <t>Uncategorized</t>
        </is>
      </c>
      <c r="C45" t="inlineStr">
        <is>
          <t>FIKTIVE DIGITAL GMBH</t>
        </is>
      </c>
      <c r="D45" s="5" t="n">
        <v>33.7</v>
      </c>
      <c r="E45" t="n">
        <v>1</v>
      </c>
      <c r="F45" t="n">
        <v>1</v>
      </c>
      <c r="G45" s="12" t="n">
        <v>-3.2249</v>
      </c>
      <c r="H45" t="n">
        <v>1</v>
      </c>
    </row>
    <row r="46">
      <c r="A46" t="inlineStr">
        <is>
          <t>Uncategorized</t>
        </is>
      </c>
      <c r="C46" t="inlineStr">
        <is>
          <t>FIKTIVE POST AG</t>
        </is>
      </c>
      <c r="D46" s="5" t="n">
        <v>12.5</v>
      </c>
      <c r="E46" t="n">
        <v>1</v>
      </c>
      <c r="F46" t="n">
        <v>1</v>
      </c>
      <c r="G46" s="12" t="n">
        <v>-1.1962</v>
      </c>
      <c r="H46" t="n">
        <v>2</v>
      </c>
    </row>
    <row r="47">
      <c r="A47" t="inlineStr">
        <is>
          <t>Uncategorized</t>
        </is>
      </c>
      <c r="C47" t="inlineStr">
        <is>
          <t>UNMATCHED TEST STORE</t>
        </is>
      </c>
      <c r="D47" s="5" t="n">
        <v>12.4</v>
      </c>
      <c r="E47" t="n">
        <v>1</v>
      </c>
      <c r="F47" t="n">
        <v>1</v>
      </c>
      <c r="G47" s="12" t="n">
        <v>-1.1866</v>
      </c>
      <c r="H47" t="n">
        <v>3</v>
      </c>
    </row>
    <row r="48">
      <c r="A48" t="inlineStr">
        <is>
          <t>Uncategorized</t>
        </is>
      </c>
      <c r="C48" t="inlineStr">
        <is>
          <t>FIKTIVER FAHRSCHEIN BERLIN DEUTSCHLAND</t>
        </is>
      </c>
      <c r="D48" s="5" t="n">
        <v>-19.15</v>
      </c>
      <c r="E48" t="n">
        <v>1</v>
      </c>
      <c r="F48" t="n">
        <v>1</v>
      </c>
      <c r="G48" s="12" t="n">
        <v>1.8325</v>
      </c>
      <c r="H48" t="n">
        <v>4</v>
      </c>
    </row>
    <row r="49">
      <c r="A49" t="inlineStr">
        <is>
          <t>Uncategorized</t>
        </is>
      </c>
      <c r="C49" t="inlineStr">
        <is>
          <t>FIKTIVER SCHUHLADEN BIEL</t>
        </is>
      </c>
      <c r="D49" s="5" t="n">
        <v>-49.9</v>
      </c>
      <c r="E49" t="n">
        <v>1</v>
      </c>
      <c r="F49" t="n">
        <v>1</v>
      </c>
      <c r="G49" s="12" t="n">
        <v>4.7751</v>
      </c>
      <c r="H49" t="n">
        <v>5</v>
      </c>
    </row>
    <row r="50">
      <c r="A50" t="inlineStr">
        <is>
          <t>Mobilität</t>
        </is>
      </c>
      <c r="B50" t="inlineStr">
        <is>
          <t>Öffentlicher Verkehr</t>
        </is>
      </c>
      <c r="C50" t="inlineStr">
        <is>
          <t>TRANSPORTS PUBLICS FRIBOURGEOIS (FAIRTIQ) N/A PAYMENT ID 250326064915818975ZX BESTELLNUMMER</t>
        </is>
      </c>
      <c r="D50" s="5" t="n">
        <v>62.6</v>
      </c>
      <c r="E50" t="n">
        <v>1</v>
      </c>
      <c r="F50" t="n">
        <v>1</v>
      </c>
      <c r="G50" s="12" t="n">
        <v>-0.6667</v>
      </c>
      <c r="H50" t="n">
        <v>1</v>
      </c>
    </row>
    <row r="51">
      <c r="A51" t="inlineStr">
        <is>
          <t>Mobilität</t>
        </is>
      </c>
      <c r="B51" t="inlineStr">
        <is>
          <t>Öffentlicher Verkehr</t>
        </is>
      </c>
      <c r="C51" t="inlineStr">
        <is>
          <t>TRANSPORTS PUBLICS FRIBOURGEOIS (FAIRTIQ) N/A PAYMENT ID 250328064754083058ZX BESTELLNUMMER</t>
        </is>
      </c>
      <c r="D51" s="5" t="n">
        <v>34.3</v>
      </c>
      <c r="E51" t="n">
        <v>1</v>
      </c>
      <c r="F51" t="n">
        <v>1</v>
      </c>
      <c r="G51" s="12" t="n">
        <v>-0.3653</v>
      </c>
      <c r="H51" t="n">
        <v>2</v>
      </c>
    </row>
    <row r="52">
      <c r="A52" t="inlineStr">
        <is>
          <t>Mobilität</t>
        </is>
      </c>
      <c r="B52" t="inlineStr">
        <is>
          <t>Öffentlicher Verkehr</t>
        </is>
      </c>
      <c r="C52" t="inlineStr">
        <is>
          <t>ALPENWERK AG INDUSTRIESTRASSE 12 CH-5430 WETTINGEN AG</t>
        </is>
      </c>
      <c r="D52" s="5" t="n">
        <v>-190.8</v>
      </c>
      <c r="E52" t="n">
        <v>3</v>
      </c>
      <c r="F52" t="n">
        <v>3</v>
      </c>
      <c r="G52" s="12" t="n">
        <v>2.0319</v>
      </c>
      <c r="H52" t="n">
        <v>3</v>
      </c>
    </row>
    <row r="53">
      <c r="A53" t="inlineStr">
        <is>
          <t>Freizeit</t>
        </is>
      </c>
      <c r="B53" t="inlineStr">
        <is>
          <t>Reisen und Erleben</t>
        </is>
      </c>
      <c r="C53" t="inlineStr">
        <is>
          <t>UEFA WOMEN'S EURO 2025 NYON</t>
        </is>
      </c>
      <c r="D53" s="5" t="n">
        <v>-100</v>
      </c>
      <c r="E53" t="n">
        <v>1</v>
      </c>
      <c r="F53" t="n">
        <v>1</v>
      </c>
      <c r="G53" s="12" t="n">
        <v>0.3571</v>
      </c>
      <c r="H53" t="n">
        <v>1</v>
      </c>
    </row>
    <row r="54">
      <c r="A54" t="inlineStr">
        <is>
          <t>Freizeit</t>
        </is>
      </c>
      <c r="B54" t="inlineStr">
        <is>
          <t>Reisen und Erleben</t>
        </is>
      </c>
      <c r="C54" t="inlineStr">
        <is>
          <t>ALPENWERK AG INDUSTRIESTRASSE 12 CH-5430 WETTINGEN AG</t>
        </is>
      </c>
      <c r="D54" s="5" t="n">
        <v>-180</v>
      </c>
      <c r="E54" t="n">
        <v>1</v>
      </c>
      <c r="F54" t="n">
        <v>1</v>
      </c>
      <c r="G54" s="12" t="n">
        <v>0.6429</v>
      </c>
      <c r="H54" t="n">
        <v>2</v>
      </c>
    </row>
    <row r="55">
      <c r="A55" t="inlineStr">
        <is>
          <t>Leben</t>
        </is>
      </c>
      <c r="B55" t="inlineStr">
        <is>
          <t>Krankenkasse</t>
        </is>
      </c>
      <c r="C55" t="inlineStr">
        <is>
          <t>MUSTER UND BEISPIEL GEMEINSCHAFTSKONTO MUSTERWEG 1 4600 OLTEN</t>
        </is>
      </c>
      <c r="D55" s="5" t="n">
        <v>-120</v>
      </c>
      <c r="E55" t="n">
        <v>1</v>
      </c>
      <c r="F55" t="n">
        <v>1</v>
      </c>
      <c r="G55" s="12" t="n">
        <v>0.06560000000000001</v>
      </c>
      <c r="H55" t="n">
        <v>1</v>
      </c>
    </row>
    <row r="56">
      <c r="A56" t="inlineStr">
        <is>
          <t>Leben</t>
        </is>
      </c>
      <c r="B56" t="inlineStr">
        <is>
          <t>Krankenkasse</t>
        </is>
      </c>
      <c r="C56" t="inlineStr">
        <is>
          <t>MEDICURA PLUS AG GESUNDHEITSWEG 8 4052 BASEL</t>
        </is>
      </c>
      <c r="D56" s="5" t="n">
        <v>-1710.5</v>
      </c>
      <c r="E56" t="n">
        <v>2</v>
      </c>
      <c r="F56" t="n">
        <v>1</v>
      </c>
      <c r="G56" s="12" t="n">
        <v>0.9344</v>
      </c>
      <c r="H56" t="n">
        <v>2</v>
      </c>
    </row>
  </sheetData>
  <autoFilter ref="A1:H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2026-10-06T08:51:43Z</dcterms:created>
  <dcterms:modified xsi:type="dcterms:W3CDTF">2026-10-06T08:51:43Z</dcterms:modified>
</cp:coreProperties>
</file>