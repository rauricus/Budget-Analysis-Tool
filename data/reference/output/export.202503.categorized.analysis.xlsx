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Category Analysis" sheetId="2" state="visible" r:id="rId2"/>
    <sheet name="Subcategory 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6"/>
    </font>
    <font>
      <i val="1"/>
      <sz val="10"/>
    </font>
    <font>
      <b val="1"/>
      <sz val="14"/>
    </font>
    <font>
      <b val="1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4" fontId="4" fillId="0" borderId="0" pivotButton="0" quotePrefix="0" xfId="0"/>
    <xf numFmtId="0" fontId="5" fillId="0" borderId="0" pivotButton="0" quotePrefix="0" xfId="0"/>
    <xf numFmtId="0" fontId="6" fillId="2" borderId="0" pivotButton="0" quotePrefix="0" xfId="0"/>
    <xf numFmtId="0" fontId="6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Income by Category</a:t>
            </a:r>
          </a:p>
        </rich>
      </tx>
    </title>
    <plotArea>
      <pieChart>
        <varyColors val="1"/>
        <ser>
          <idx val="0"/>
          <order val="0"/>
          <tx>
            <strRef>
              <f>'Overview'!B13</f>
            </strRef>
          </tx>
          <spPr>
            <a:ln>
              <a:prstDash val="solid"/>
            </a:ln>
          </spPr>
          <cat>
            <numRef>
              <f>'Overview'!$A$14:$A$15</f>
            </numRef>
          </cat>
          <val>
            <numRef>
              <f>'Overview'!$B$14:$B$15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Expenses by Category</a:t>
            </a:r>
          </a:p>
        </rich>
      </tx>
    </title>
    <plotArea>
      <pieChart>
        <varyColors val="1"/>
        <ser>
          <idx val="0"/>
          <order val="0"/>
          <tx>
            <strRef>
              <f>'Overview'!B22</f>
            </strRef>
          </tx>
          <spPr>
            <a:ln>
              <a:prstDash val="solid"/>
            </a:ln>
          </spPr>
          <cat>
            <numRef>
              <f>'Overview'!$A$23:$A$30</f>
            </numRef>
          </cat>
          <val>
            <numRef>
              <f>'Overview'!$B$23:$B$30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12</row>
      <rowOff>0</rowOff>
    </from>
    <ext cx="50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21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</cols>
  <sheetData>
    <row r="1">
      <c r="A1" s="1" t="inlineStr">
        <is>
          <t>Budget Analysis by Category</t>
        </is>
      </c>
    </row>
    <row r="2">
      <c r="A2" s="2" t="inlineStr">
        <is>
          <t>Source: export.202503.categorized.csv</t>
        </is>
      </c>
    </row>
    <row r="4">
      <c r="A4" s="3" t="inlineStr">
        <is>
          <t>Overall Summary</t>
        </is>
      </c>
    </row>
    <row r="6">
      <c r="A6" t="inlineStr">
        <is>
          <t>Total Income:</t>
        </is>
      </c>
      <c r="B6" s="4" t="n">
        <v>8754.300000000001</v>
      </c>
    </row>
    <row r="7">
      <c r="A7" t="inlineStr">
        <is>
          <t>Total Expenses:</t>
        </is>
      </c>
      <c r="B7" s="4" t="n">
        <v>2990.49</v>
      </c>
    </row>
    <row r="8">
      <c r="A8" t="inlineStr">
        <is>
          <t>Net (Income - Expenses):</t>
        </is>
      </c>
      <c r="B8" s="5" t="n">
        <v>5763.810000000001</v>
      </c>
    </row>
    <row r="11">
      <c r="A11" s="6" t="inlineStr">
        <is>
          <t>Income by Category</t>
        </is>
      </c>
    </row>
    <row r="13">
      <c r="A13" s="7" t="inlineStr">
        <is>
          <t>Category</t>
        </is>
      </c>
      <c r="B13" s="7" t="inlineStr">
        <is>
          <t>Amount (CHF)</t>
        </is>
      </c>
    </row>
    <row r="14">
      <c r="A14" t="inlineStr">
        <is>
          <t>Einkommen</t>
        </is>
      </c>
      <c r="B14" s="4" t="n">
        <v>6966.35</v>
      </c>
    </row>
    <row r="15">
      <c r="A15" t="inlineStr">
        <is>
          <t>Überträge</t>
        </is>
      </c>
      <c r="B15" s="4" t="n">
        <v>1787.95</v>
      </c>
    </row>
    <row r="20">
      <c r="A20" s="6" t="inlineStr">
        <is>
          <t>Expenses by Category</t>
        </is>
      </c>
    </row>
    <row r="22">
      <c r="A22" s="7" t="inlineStr">
        <is>
          <t>Category</t>
        </is>
      </c>
      <c r="B22" s="7" t="inlineStr">
        <is>
          <t>Amount (CHF)</t>
        </is>
      </c>
    </row>
    <row r="23">
      <c r="A23" t="inlineStr">
        <is>
          <t>Wohnen</t>
        </is>
      </c>
      <c r="B23" s="4" t="n">
        <v>1825.6</v>
      </c>
    </row>
    <row r="24">
      <c r="A24" t="inlineStr">
        <is>
          <t>Überträge</t>
        </is>
      </c>
      <c r="B24" s="4" t="n">
        <v>23.95</v>
      </c>
    </row>
    <row r="25">
      <c r="A25" t="inlineStr">
        <is>
          <t>Leben</t>
        </is>
      </c>
      <c r="B25" s="4" t="n">
        <v>433.55</v>
      </c>
    </row>
    <row r="26">
      <c r="A26" t="inlineStr">
        <is>
          <t>Einkaufen</t>
        </is>
      </c>
      <c r="B26" s="4" t="n">
        <v>382.59</v>
      </c>
    </row>
    <row r="27">
      <c r="A27" t="inlineStr">
        <is>
          <t>Freizeit</t>
        </is>
      </c>
      <c r="B27" s="4" t="n">
        <v>130.5</v>
      </c>
    </row>
    <row r="28">
      <c r="A28" t="inlineStr">
        <is>
          <t>Mobilität</t>
        </is>
      </c>
      <c r="B28" s="4" t="n">
        <v>96.90000000000001</v>
      </c>
    </row>
    <row r="29">
      <c r="A29" t="inlineStr">
        <is>
          <t>Finanzen</t>
        </is>
      </c>
      <c r="B29" s="4" t="n">
        <v>85</v>
      </c>
    </row>
    <row r="30">
      <c r="A30" t="inlineStr">
        <is>
          <t>Uncategorized</t>
        </is>
      </c>
      <c r="B30" s="4" t="n">
        <v>12.4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5" customWidth="1" min="4" max="4"/>
  </cols>
  <sheetData>
    <row r="1">
      <c r="A1" s="3" t="inlineStr">
        <is>
          <t>Category Analysis</t>
        </is>
      </c>
    </row>
    <row r="3">
      <c r="A3" s="8" t="inlineStr">
        <is>
          <t>Category</t>
        </is>
      </c>
      <c r="B3" s="8" t="inlineStr">
        <is>
          <t>Credit in CHF</t>
        </is>
      </c>
      <c r="C3" s="8" t="inlineStr">
        <is>
          <t>Debit in CHF</t>
        </is>
      </c>
      <c r="D3" s="8" t="inlineStr">
        <is>
          <t>Net in CHF</t>
        </is>
      </c>
    </row>
    <row r="4">
      <c r="A4" t="inlineStr">
        <is>
          <t>Einkommen</t>
        </is>
      </c>
      <c r="B4" s="4" t="n">
        <v>6966.35</v>
      </c>
      <c r="C4" s="4" t="n">
        <v>0</v>
      </c>
      <c r="D4" s="4" t="n">
        <v>6966.35</v>
      </c>
    </row>
    <row r="5">
      <c r="A5" t="inlineStr">
        <is>
          <t>Wohnen</t>
        </is>
      </c>
      <c r="B5" s="4" t="n">
        <v>0</v>
      </c>
      <c r="C5" s="4" t="n">
        <v>1825.6</v>
      </c>
      <c r="D5" s="4" t="n">
        <v>-1825.6</v>
      </c>
    </row>
    <row r="6">
      <c r="A6" t="inlineStr">
        <is>
          <t>Überträge</t>
        </is>
      </c>
      <c r="B6" s="4" t="n">
        <v>1787.95</v>
      </c>
      <c r="C6" s="4" t="n">
        <v>23.95</v>
      </c>
      <c r="D6" s="4" t="n">
        <v>1764</v>
      </c>
    </row>
    <row r="7">
      <c r="A7" t="inlineStr">
        <is>
          <t>Leben</t>
        </is>
      </c>
      <c r="B7" s="4" t="n">
        <v>0</v>
      </c>
      <c r="C7" s="4" t="n">
        <v>433.55</v>
      </c>
      <c r="D7" s="4" t="n">
        <v>-433.55</v>
      </c>
    </row>
    <row r="8">
      <c r="A8" t="inlineStr">
        <is>
          <t>Einkaufen</t>
        </is>
      </c>
      <c r="B8" s="4" t="n">
        <v>0</v>
      </c>
      <c r="C8" s="4" t="n">
        <v>382.59</v>
      </c>
      <c r="D8" s="4" t="n">
        <v>-382.59</v>
      </c>
    </row>
    <row r="9">
      <c r="A9" t="inlineStr">
        <is>
          <t>Freizeit</t>
        </is>
      </c>
      <c r="B9" s="4" t="n">
        <v>0</v>
      </c>
      <c r="C9" s="4" t="n">
        <v>130.5</v>
      </c>
      <c r="D9" s="4" t="n">
        <v>-130.5</v>
      </c>
    </row>
    <row r="10">
      <c r="A10" t="inlineStr">
        <is>
          <t>Mobilität</t>
        </is>
      </c>
      <c r="B10" s="4" t="n">
        <v>0</v>
      </c>
      <c r="C10" s="4" t="n">
        <v>96.90000000000001</v>
      </c>
      <c r="D10" s="4" t="n">
        <v>-96.90000000000001</v>
      </c>
    </row>
    <row r="11">
      <c r="A11" t="inlineStr">
        <is>
          <t>Finanzen</t>
        </is>
      </c>
      <c r="B11" s="4" t="n">
        <v>0</v>
      </c>
      <c r="C11" s="4" t="n">
        <v>85</v>
      </c>
      <c r="D11" s="4" t="n">
        <v>-85</v>
      </c>
    </row>
    <row r="12">
      <c r="A12" t="inlineStr">
        <is>
          <t>Uncategorized</t>
        </is>
      </c>
      <c r="B12" s="4" t="n">
        <v>0</v>
      </c>
      <c r="C12" s="4" t="n">
        <v>12.4</v>
      </c>
      <c r="D12" s="4" t="n">
        <v>-12.4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15" customWidth="1" min="3" max="3"/>
    <col width="15" customWidth="1" min="4" max="4"/>
    <col width="15" customWidth="1" min="5" max="5"/>
  </cols>
  <sheetData>
    <row r="1">
      <c r="A1" s="3" t="inlineStr">
        <is>
          <t>Subcategory Analysis</t>
        </is>
      </c>
    </row>
    <row r="3">
      <c r="A3" s="8" t="inlineStr">
        <is>
          <t>Category</t>
        </is>
      </c>
      <c r="B3" s="8" t="inlineStr">
        <is>
          <t>Subcategory</t>
        </is>
      </c>
      <c r="C3" s="8" t="inlineStr">
        <is>
          <t>Credit in CHF</t>
        </is>
      </c>
      <c r="D3" s="8" t="inlineStr">
        <is>
          <t>Debit in CHF</t>
        </is>
      </c>
      <c r="E3" s="8" t="inlineStr">
        <is>
          <t>Net in CHF</t>
        </is>
      </c>
    </row>
    <row r="4">
      <c r="A4" t="inlineStr">
        <is>
          <t>Einkaufen</t>
        </is>
      </c>
      <c r="B4" t="inlineStr">
        <is>
          <t>Supermärkte</t>
        </is>
      </c>
      <c r="C4" s="4" t="n">
        <v>0</v>
      </c>
      <c r="D4" s="4" t="n">
        <v>200.65</v>
      </c>
      <c r="E4" s="4" t="n">
        <v>-200.65</v>
      </c>
    </row>
    <row r="5">
      <c r="A5" t="inlineStr">
        <is>
          <t>Einkaufen</t>
        </is>
      </c>
      <c r="B5" t="inlineStr">
        <is>
          <t>Detail-Lebensmittel</t>
        </is>
      </c>
      <c r="C5" s="4" t="n">
        <v>0</v>
      </c>
      <c r="D5" s="4" t="n">
        <v>167.29</v>
      </c>
      <c r="E5" s="4" t="n">
        <v>-167.29</v>
      </c>
    </row>
    <row r="6">
      <c r="A6" t="inlineStr">
        <is>
          <t>Einkaufen</t>
        </is>
      </c>
      <c r="B6" t="inlineStr">
        <is>
          <t>Sonstiges Einkaufen</t>
        </is>
      </c>
      <c r="C6" s="4" t="n">
        <v>0</v>
      </c>
      <c r="D6" s="4" t="n">
        <v>14.65</v>
      </c>
      <c r="E6" s="4" t="n">
        <v>-14.65</v>
      </c>
    </row>
    <row r="7">
      <c r="A7" t="inlineStr">
        <is>
          <t>Einkommen</t>
        </is>
      </c>
      <c r="B7" t="inlineStr">
        <is>
          <t>Lohn</t>
        </is>
      </c>
      <c r="C7" s="4" t="n">
        <v>6966.35</v>
      </c>
      <c r="D7" s="4" t="n">
        <v>0</v>
      </c>
      <c r="E7" s="4" t="n">
        <v>6966.35</v>
      </c>
    </row>
    <row r="8">
      <c r="A8" t="inlineStr">
        <is>
          <t>Finanzen</t>
        </is>
      </c>
      <c r="B8" t="inlineStr">
        <is>
          <t>Bargeldbezug</t>
        </is>
      </c>
      <c r="C8" s="4" t="n">
        <v>0</v>
      </c>
      <c r="D8" s="4" t="n">
        <v>80</v>
      </c>
      <c r="E8" s="4" t="n">
        <v>-80</v>
      </c>
    </row>
    <row r="9">
      <c r="A9" t="inlineStr">
        <is>
          <t>Finanzen</t>
        </is>
      </c>
      <c r="B9" t="inlineStr">
        <is>
          <t>Gebühren</t>
        </is>
      </c>
      <c r="C9" s="4" t="n">
        <v>0</v>
      </c>
      <c r="D9" s="4" t="n">
        <v>5</v>
      </c>
      <c r="E9" s="4" t="n">
        <v>-5</v>
      </c>
    </row>
    <row r="10">
      <c r="A10" t="inlineStr">
        <is>
          <t>Freizeit</t>
        </is>
      </c>
      <c r="B10" t="inlineStr">
        <is>
          <t>Gastronomie</t>
        </is>
      </c>
      <c r="C10" s="4" t="n">
        <v>0</v>
      </c>
      <c r="D10" s="4" t="n">
        <v>130.5</v>
      </c>
      <c r="E10" s="4" t="n">
        <v>-130.5</v>
      </c>
    </row>
    <row r="11">
      <c r="A11" t="inlineStr">
        <is>
          <t>Leben</t>
        </is>
      </c>
      <c r="B11" t="inlineStr">
        <is>
          <t>Familie</t>
        </is>
      </c>
      <c r="C11" s="4" t="n">
        <v>0</v>
      </c>
      <c r="D11" s="4" t="n">
        <v>200</v>
      </c>
      <c r="E11" s="4" t="n">
        <v>-200</v>
      </c>
    </row>
    <row r="12">
      <c r="A12" t="inlineStr">
        <is>
          <t>Leben</t>
        </is>
      </c>
      <c r="B12" t="inlineStr">
        <is>
          <t>Gesundheit</t>
        </is>
      </c>
      <c r="C12" s="4" t="n">
        <v>0</v>
      </c>
      <c r="D12" s="4" t="n">
        <v>101.85</v>
      </c>
      <c r="E12" s="4" t="n">
        <v>-101.85</v>
      </c>
    </row>
    <row r="13">
      <c r="A13" t="inlineStr">
        <is>
          <t>Leben</t>
        </is>
      </c>
      <c r="B13" t="inlineStr">
        <is>
          <t>Styling und Wellness</t>
        </is>
      </c>
      <c r="C13" s="4" t="n">
        <v>0</v>
      </c>
      <c r="D13" s="4" t="n">
        <v>79.90000000000001</v>
      </c>
      <c r="E13" s="4" t="n">
        <v>-79.90000000000001</v>
      </c>
    </row>
    <row r="14">
      <c r="A14" t="inlineStr">
        <is>
          <t>Leben</t>
        </is>
      </c>
      <c r="B14" t="inlineStr">
        <is>
          <t>Sonstiges Leben</t>
        </is>
      </c>
      <c r="C14" s="4" t="n">
        <v>0</v>
      </c>
      <c r="D14" s="4" t="n">
        <v>51.8</v>
      </c>
      <c r="E14" s="4" t="n">
        <v>-51.8</v>
      </c>
    </row>
    <row r="15">
      <c r="A15" t="inlineStr">
        <is>
          <t>Mobilität</t>
        </is>
      </c>
      <c r="B15" t="inlineStr">
        <is>
          <t>Öffentlicher Verkehr</t>
        </is>
      </c>
      <c r="C15" s="4" t="n">
        <v>0</v>
      </c>
      <c r="D15" s="4" t="n">
        <v>96.90000000000001</v>
      </c>
      <c r="E15" s="4" t="n">
        <v>-96.90000000000001</v>
      </c>
    </row>
    <row r="16">
      <c r="A16" t="inlineStr">
        <is>
          <t>Wohnen</t>
        </is>
      </c>
      <c r="B16" t="inlineStr">
        <is>
          <t>Nebenkosten</t>
        </is>
      </c>
      <c r="C16" s="4" t="n">
        <v>0</v>
      </c>
      <c r="D16" s="4" t="n">
        <v>1774</v>
      </c>
      <c r="E16" s="4" t="n">
        <v>-1774</v>
      </c>
    </row>
    <row r="17">
      <c r="A17" t="inlineStr">
        <is>
          <t>Wohnen</t>
        </is>
      </c>
      <c r="B17" t="inlineStr">
        <is>
          <t>Kommunikation</t>
        </is>
      </c>
      <c r="C17" s="4" t="n">
        <v>0</v>
      </c>
      <c r="D17" s="4" t="n">
        <v>51.6</v>
      </c>
      <c r="E17" s="4" t="n">
        <v>-51.6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2026-04-10T21:28:57Z</dcterms:created>
  <dcterms:modified xsi:type="dcterms:W3CDTF">2026-04-10T21:28:57Z</dcterms:modified>
</cp:coreProperties>
</file>