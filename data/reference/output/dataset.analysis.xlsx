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views by category" sheetId="2" state="visible" r:id="rId2"/>
    <sheet name="Category Analysis" sheetId="3" state="visible" r:id="rId3"/>
    <sheet name="Subcategor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Transaction Categories Overview</a:t>
            </a:r>
          </a:p>
        </rich>
      </tx>
    </title>
    <plotArea>
      <pieChart>
        <varyColors val="1"/>
        <ser>
          <idx val="0"/>
          <order val="0"/>
          <tx>
            <strRef>
              <f>'Summary'!I6</f>
            </strRef>
          </tx>
          <spPr>
            <a:ln>
              <a:prstDash val="solid"/>
            </a:ln>
          </spPr>
          <cat>
            <numRef>
              <f>'Summary'!$H$7:$H$10</f>
            </numRef>
          </cat>
          <val>
            <numRef>
              <f>'Summary'!$I$7:$I$10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Income by Category</a:t>
            </a:r>
          </a:p>
        </rich>
      </tx>
    </title>
    <plotArea>
      <pieChart>
        <varyColors val="1"/>
        <ser>
          <idx val="0"/>
          <order val="0"/>
          <tx>
            <strRef>
              <f>'Overviews by category'!B7</f>
            </strRef>
          </tx>
          <spPr>
            <a:ln>
              <a:prstDash val="solid"/>
            </a:ln>
          </spPr>
          <cat>
            <numRef>
              <f>'Overviews by category'!$A$8:$A$9</f>
            </numRef>
          </cat>
          <val>
            <numRef>
              <f>'Overviews by category'!$B$8:$B$9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'Overviews by category'!B29</f>
            </strRef>
          </tx>
          <spPr>
            <a:ln>
              <a:prstDash val="solid"/>
            </a:ln>
          </spPr>
          <cat>
            <numRef>
              <f>'Overviews by category'!$A$30:$A$36</f>
            </numRef>
          </cat>
          <val>
            <numRef>
              <f>'Overviews by category'!$B$30:$B$36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Refunds by Category</a:t>
            </a:r>
          </a:p>
        </rich>
      </tx>
    </title>
    <plotArea>
      <pieChart>
        <varyColors val="1"/>
        <ser>
          <idx val="0"/>
          <order val="0"/>
          <tx>
            <strRef>
              <f>'Overviews by category'!B51</f>
            </strRef>
          </tx>
          <spPr>
            <a:ln>
              <a:prstDash val="solid"/>
            </a:ln>
          </spPr>
          <cat>
            <numRef>
              <f>'Overviews by category'!$A$52:$A$54</f>
            </numRef>
          </cat>
          <val>
            <numRef>
              <f>'Overviews by category'!$B$52:$B$54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28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50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1" t="inlineStr">
        <is>
          <t>Budget Analysis Summary</t>
        </is>
      </c>
    </row>
    <row r="2">
      <c r="A2" s="2" t="inlineStr">
        <is>
          <t>Source: data/reference (4 categorized file(s))</t>
        </is>
      </c>
    </row>
    <row r="5">
      <c r="A5" s="3" t="inlineStr">
        <is>
          <t>Overall Summary</t>
        </is>
      </c>
    </row>
    <row r="6">
      <c r="H6" t="inlineStr">
        <is>
          <t>Transaction Category</t>
        </is>
      </c>
      <c r="I6" t="inlineStr">
        <is>
          <t>Amount (CHF)</t>
        </is>
      </c>
    </row>
    <row r="7">
      <c r="A7" s="4" t="inlineStr">
        <is>
          <t>Transaction Category</t>
        </is>
      </c>
      <c r="B7" s="4" t="inlineStr">
        <is>
          <t>Credit (CHF)</t>
        </is>
      </c>
      <c r="C7" s="4" t="inlineStr">
        <is>
          <t>Debit (CHF)</t>
        </is>
      </c>
      <c r="H7" t="inlineStr">
        <is>
          <t>Income</t>
        </is>
      </c>
      <c r="I7" s="5" t="n">
        <v>11166.35</v>
      </c>
    </row>
    <row r="8">
      <c r="A8" t="inlineStr">
        <is>
          <t>Income</t>
        </is>
      </c>
      <c r="B8" s="5" t="n">
        <v>11166.35</v>
      </c>
      <c r="C8" s="5" t="n">
        <v>0</v>
      </c>
      <c r="H8" t="inlineStr">
        <is>
          <t>Expense</t>
        </is>
      </c>
      <c r="I8" s="5" t="n">
        <v>3090.46</v>
      </c>
    </row>
    <row r="9">
      <c r="A9" t="inlineStr">
        <is>
          <t>Expense</t>
        </is>
      </c>
      <c r="B9" s="5" t="n">
        <v>0</v>
      </c>
      <c r="C9" s="5" t="n">
        <v>3090.46</v>
      </c>
      <c r="H9" t="inlineStr">
        <is>
          <t>Refund</t>
        </is>
      </c>
      <c r="I9" s="5" t="n">
        <v>1888.95</v>
      </c>
    </row>
    <row r="10">
      <c r="A10" t="inlineStr">
        <is>
          <t>Refund</t>
        </is>
      </c>
      <c r="B10" s="5" t="n">
        <v>1888.95</v>
      </c>
      <c r="C10" s="5" t="n">
        <v>0</v>
      </c>
      <c r="H10" t="inlineStr">
        <is>
          <t>Transfer</t>
        </is>
      </c>
      <c r="I10" s="5" t="n">
        <v>450</v>
      </c>
    </row>
    <row r="11">
      <c r="A11" s="6" t="inlineStr">
        <is>
          <t>Total</t>
        </is>
      </c>
      <c r="B11" s="7" t="n">
        <v>13055.3</v>
      </c>
      <c r="C11" s="7" t="n">
        <v>3090.46</v>
      </c>
    </row>
    <row r="13">
      <c r="A13" t="inlineStr">
        <is>
          <t>Transfer</t>
        </is>
      </c>
      <c r="B13" s="5" t="n">
        <v>450</v>
      </c>
      <c r="C13" s="5" t="n">
        <v>0</v>
      </c>
    </row>
    <row r="15">
      <c r="A15" s="6" t="inlineStr">
        <is>
          <t>Grand Total</t>
        </is>
      </c>
      <c r="B15" s="7" t="n">
        <v>13505.3</v>
      </c>
      <c r="C15" s="7" t="n">
        <v>3090.46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Budget Analysis by Category</t>
        </is>
      </c>
    </row>
    <row r="2">
      <c r="A2" s="2" t="inlineStr">
        <is>
          <t>Source: data/reference (4 categorized file(s))</t>
        </is>
      </c>
    </row>
    <row r="5">
      <c r="A5" s="3" t="inlineStr">
        <is>
          <t>Income by Category</t>
        </is>
      </c>
    </row>
    <row r="7">
      <c r="A7" s="8" t="inlineStr">
        <is>
          <t>Category</t>
        </is>
      </c>
      <c r="B7" s="8" t="inlineStr">
        <is>
          <t>Amount (CHF)</t>
        </is>
      </c>
    </row>
    <row r="8">
      <c r="A8" t="inlineStr">
        <is>
          <t>Einkommen</t>
        </is>
      </c>
      <c r="B8" s="5" t="n">
        <v>6966.35</v>
      </c>
    </row>
    <row r="9">
      <c r="A9" t="inlineStr">
        <is>
          <t>Beispiel</t>
        </is>
      </c>
      <c r="B9" s="5" t="n">
        <v>4200</v>
      </c>
    </row>
    <row r="27">
      <c r="A27" s="3" t="inlineStr">
        <is>
          <t>Expenses by Category</t>
        </is>
      </c>
    </row>
    <row r="29">
      <c r="A29" s="8" t="inlineStr">
        <is>
          <t>Category</t>
        </is>
      </c>
      <c r="B29" s="8" t="inlineStr">
        <is>
          <t>Amount (CHF)</t>
        </is>
      </c>
    </row>
    <row r="30">
      <c r="A30" t="inlineStr">
        <is>
          <t>Wohnen</t>
        </is>
      </c>
      <c r="B30" s="5" t="n">
        <v>1879.12</v>
      </c>
    </row>
    <row r="31">
      <c r="A31" t="inlineStr">
        <is>
          <t>Leben</t>
        </is>
      </c>
      <c r="B31" s="5" t="n">
        <v>452.55</v>
      </c>
    </row>
    <row r="32">
      <c r="A32" t="inlineStr">
        <is>
          <t>Einkaufen</t>
        </is>
      </c>
      <c r="B32" s="5" t="n">
        <v>371.69</v>
      </c>
    </row>
    <row r="33">
      <c r="A33" t="inlineStr">
        <is>
          <t>Freizeit</t>
        </is>
      </c>
      <c r="B33" s="5" t="n">
        <v>153.5</v>
      </c>
    </row>
    <row r="34">
      <c r="A34" t="inlineStr">
        <is>
          <t>Mobilität</t>
        </is>
      </c>
      <c r="B34" s="5" t="n">
        <v>123.6</v>
      </c>
    </row>
    <row r="35">
      <c r="A35" t="inlineStr">
        <is>
          <t>Finanzen</t>
        </is>
      </c>
      <c r="B35" s="5" t="n">
        <v>85</v>
      </c>
    </row>
    <row r="36">
      <c r="A36" t="inlineStr">
        <is>
          <t>Beispiel</t>
        </is>
      </c>
      <c r="B36" s="5" t="n">
        <v>25</v>
      </c>
    </row>
    <row r="49">
      <c r="A49" s="3" t="inlineStr">
        <is>
          <t>Refunds by Category</t>
        </is>
      </c>
    </row>
    <row r="51">
      <c r="A51" s="8" t="inlineStr">
        <is>
          <t>Category</t>
        </is>
      </c>
      <c r="B51" s="8" t="inlineStr">
        <is>
          <t>Amount (CHF)</t>
        </is>
      </c>
    </row>
    <row r="52">
      <c r="A52" t="inlineStr">
        <is>
          <t>Leben</t>
        </is>
      </c>
      <c r="B52" s="5" t="n">
        <v>1787.95</v>
      </c>
    </row>
    <row r="53">
      <c r="A53" t="inlineStr">
        <is>
          <t>Freizeit</t>
        </is>
      </c>
      <c r="B53" s="5" t="n">
        <v>100</v>
      </c>
    </row>
    <row r="54">
      <c r="A54" t="inlineStr">
        <is>
          <t>Rückerstattungen</t>
        </is>
      </c>
      <c r="B54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Category Analysis</t>
        </is>
      </c>
    </row>
    <row r="2">
      <c r="A2" s="2" t="inlineStr">
        <is>
          <t>Note: Transactions with Transaction Category 'transfer' are excluded.</t>
        </is>
      </c>
    </row>
    <row r="5">
      <c r="A5" s="3" t="inlineStr">
        <is>
          <t>January 2025</t>
        </is>
      </c>
    </row>
    <row r="7">
      <c r="A7" s="4" t="inlineStr">
        <is>
          <t>Category</t>
        </is>
      </c>
      <c r="B7" s="4" t="inlineStr">
        <is>
          <t>Credit in CHF</t>
        </is>
      </c>
      <c r="C7" s="4" t="inlineStr">
        <is>
          <t>Debit in CHF</t>
        </is>
      </c>
      <c r="D7" s="4" t="inlineStr">
        <is>
          <t>Net in CHF</t>
        </is>
      </c>
    </row>
    <row r="8">
      <c r="A8" t="inlineStr">
        <is>
          <t>Mobilität</t>
        </is>
      </c>
      <c r="B8" s="5" t="n">
        <v>0</v>
      </c>
      <c r="C8" s="5" t="n">
        <v>26.7</v>
      </c>
      <c r="D8" s="5" t="n">
        <v>-26.7</v>
      </c>
    </row>
    <row r="9">
      <c r="A9" t="inlineStr">
        <is>
          <t>Leben</t>
        </is>
      </c>
      <c r="B9" s="5" t="n">
        <v>0</v>
      </c>
      <c r="C9" s="5" t="n">
        <v>19</v>
      </c>
      <c r="D9" s="5" t="n">
        <v>-19</v>
      </c>
    </row>
    <row r="10">
      <c r="A10" t="inlineStr">
        <is>
          <t>Uncategorized</t>
        </is>
      </c>
      <c r="B10" s="5" t="n">
        <v>0</v>
      </c>
      <c r="C10" s="5" t="n">
        <v>13.9</v>
      </c>
      <c r="D10" s="5" t="n">
        <v>-13.9</v>
      </c>
    </row>
    <row r="11">
      <c r="A11" t="inlineStr">
        <is>
          <t>Rückerstattungen</t>
        </is>
      </c>
      <c r="B11" s="5" t="n">
        <v>1</v>
      </c>
      <c r="C11" s="5" t="n">
        <v>0</v>
      </c>
      <c r="D11" s="5" t="n">
        <v>1</v>
      </c>
    </row>
    <row r="14">
      <c r="A14" s="3" t="inlineStr">
        <is>
          <t>February 2025</t>
        </is>
      </c>
    </row>
    <row r="16">
      <c r="A16" s="4" t="inlineStr">
        <is>
          <t>Category</t>
        </is>
      </c>
      <c r="B16" s="4" t="inlineStr">
        <is>
          <t>Credit in CHF</t>
        </is>
      </c>
      <c r="C16" s="4" t="inlineStr">
        <is>
          <t>Debit in CHF</t>
        </is>
      </c>
      <c r="D16" s="4" t="inlineStr">
        <is>
          <t>Net in CHF</t>
        </is>
      </c>
    </row>
    <row r="17">
      <c r="A17" t="inlineStr">
        <is>
          <t>Freizeit</t>
        </is>
      </c>
      <c r="B17" s="5" t="n">
        <v>0</v>
      </c>
      <c r="C17" s="5" t="n">
        <v>3</v>
      </c>
      <c r="D17" s="5" t="n">
        <v>-3</v>
      </c>
    </row>
    <row r="20">
      <c r="A20" s="3" t="inlineStr">
        <is>
          <t>March 2025</t>
        </is>
      </c>
    </row>
    <row r="22">
      <c r="A22" s="4" t="inlineStr">
        <is>
          <t>Category</t>
        </is>
      </c>
      <c r="B22" s="4" t="inlineStr">
        <is>
          <t>Credit in CHF</t>
        </is>
      </c>
      <c r="C22" s="4" t="inlineStr">
        <is>
          <t>Debit in CHF</t>
        </is>
      </c>
      <c r="D22" s="4" t="inlineStr">
        <is>
          <t>Net in CHF</t>
        </is>
      </c>
    </row>
    <row r="23">
      <c r="A23" t="inlineStr">
        <is>
          <t>Einkommen</t>
        </is>
      </c>
      <c r="B23" s="5" t="n">
        <v>6966.35</v>
      </c>
      <c r="C23" s="5" t="n">
        <v>0</v>
      </c>
      <c r="D23" s="5" t="n">
        <v>6966.35</v>
      </c>
    </row>
    <row r="24">
      <c r="A24" t="inlineStr">
        <is>
          <t>Leben</t>
        </is>
      </c>
      <c r="B24" s="5" t="n">
        <v>1787.95</v>
      </c>
      <c r="C24" s="5" t="n">
        <v>433.55</v>
      </c>
      <c r="D24" s="5" t="n">
        <v>1354.4</v>
      </c>
    </row>
    <row r="25">
      <c r="A25" t="inlineStr">
        <is>
          <t>Wohnen</t>
        </is>
      </c>
      <c r="B25" s="5" t="n">
        <v>0</v>
      </c>
      <c r="C25" s="5" t="n">
        <v>1879.12</v>
      </c>
      <c r="D25" s="5" t="n">
        <v>-1879.12</v>
      </c>
    </row>
    <row r="26">
      <c r="A26" t="inlineStr">
        <is>
          <t>Einkaufen</t>
        </is>
      </c>
      <c r="B26" s="5" t="n">
        <v>0</v>
      </c>
      <c r="C26" s="5" t="n">
        <v>371.69</v>
      </c>
      <c r="D26" s="5" t="n">
        <v>-371.69</v>
      </c>
    </row>
    <row r="27">
      <c r="A27" t="inlineStr">
        <is>
          <t>Freizeit</t>
        </is>
      </c>
      <c r="B27" s="5" t="n">
        <v>0</v>
      </c>
      <c r="C27" s="5" t="n">
        <v>150.5</v>
      </c>
      <c r="D27" s="5" t="n">
        <v>-150.5</v>
      </c>
    </row>
    <row r="28">
      <c r="A28" t="inlineStr">
        <is>
          <t>Mobilität</t>
        </is>
      </c>
      <c r="B28" s="5" t="n">
        <v>0</v>
      </c>
      <c r="C28" s="5" t="n">
        <v>96.90000000000001</v>
      </c>
      <c r="D28" s="5" t="n">
        <v>-96.90000000000001</v>
      </c>
    </row>
    <row r="29">
      <c r="A29" t="inlineStr">
        <is>
          <t>Finanzen</t>
        </is>
      </c>
      <c r="B29" s="5" t="n">
        <v>0</v>
      </c>
      <c r="C29" s="5" t="n">
        <v>85</v>
      </c>
      <c r="D29" s="5" t="n">
        <v>-85</v>
      </c>
    </row>
    <row r="30">
      <c r="A30" t="inlineStr">
        <is>
          <t>Uncategorized</t>
        </is>
      </c>
      <c r="B30" s="5" t="n">
        <v>0</v>
      </c>
      <c r="C30" s="5" t="n">
        <v>12.4</v>
      </c>
      <c r="D30" s="5" t="n">
        <v>-12.4</v>
      </c>
    </row>
    <row r="33">
      <c r="A33" s="3" t="inlineStr">
        <is>
          <t>April 2025</t>
        </is>
      </c>
    </row>
    <row r="35">
      <c r="A35" s="4" t="inlineStr">
        <is>
          <t>Category</t>
        </is>
      </c>
      <c r="B35" s="4" t="inlineStr">
        <is>
          <t>Credit in CHF</t>
        </is>
      </c>
      <c r="C35" s="4" t="inlineStr">
        <is>
          <t>Debit in CHF</t>
        </is>
      </c>
      <c r="D35" s="4" t="inlineStr">
        <is>
          <t>Net in CHF</t>
        </is>
      </c>
    </row>
    <row r="36">
      <c r="A36" t="inlineStr">
        <is>
          <t>Beispiel</t>
        </is>
      </c>
      <c r="B36" s="5" t="n">
        <v>4200</v>
      </c>
      <c r="C36" s="5" t="n">
        <v>25</v>
      </c>
      <c r="D36" s="5" t="n">
        <v>4175</v>
      </c>
    </row>
    <row r="37">
      <c r="A37" t="inlineStr">
        <is>
          <t>Freizeit</t>
        </is>
      </c>
      <c r="B37" s="5" t="n">
        <v>100</v>
      </c>
      <c r="C37" s="5" t="n">
        <v>0</v>
      </c>
      <c r="D37" s="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Subcategory Analysis</t>
        </is>
      </c>
    </row>
    <row r="2">
      <c r="A2" s="2" t="inlineStr">
        <is>
          <t>Note: Transactions with Transaction Category 'transfer' are excluded.</t>
        </is>
      </c>
    </row>
    <row r="5">
      <c r="A5" s="3" t="inlineStr">
        <is>
          <t>January 2025</t>
        </is>
      </c>
    </row>
    <row r="7">
      <c r="A7" s="4" t="inlineStr">
        <is>
          <t>Category</t>
        </is>
      </c>
      <c r="B7" s="4" t="inlineStr">
        <is>
          <t>Subcategory</t>
        </is>
      </c>
      <c r="C7" s="4" t="inlineStr">
        <is>
          <t>Credit in CHF</t>
        </is>
      </c>
      <c r="D7" s="4" t="inlineStr">
        <is>
          <t>Debit in CHF</t>
        </is>
      </c>
      <c r="E7" s="4" t="inlineStr">
        <is>
          <t>Net in CHF</t>
        </is>
      </c>
    </row>
    <row r="8">
      <c r="A8" t="inlineStr">
        <is>
          <t>Leben</t>
        </is>
      </c>
      <c r="B8" t="inlineStr">
        <is>
          <t>Familie</t>
        </is>
      </c>
      <c r="C8" s="5" t="n">
        <v>0</v>
      </c>
      <c r="D8" s="5" t="n">
        <v>19</v>
      </c>
      <c r="E8" s="5" t="n">
        <v>-19</v>
      </c>
    </row>
    <row r="9">
      <c r="A9" t="inlineStr">
        <is>
          <t>Mobilität</t>
        </is>
      </c>
      <c r="B9" t="inlineStr">
        <is>
          <t>Privater Verkehr</t>
        </is>
      </c>
      <c r="C9" s="5" t="n">
        <v>0</v>
      </c>
      <c r="D9" s="5" t="n">
        <v>26.7</v>
      </c>
      <c r="E9" s="5" t="n">
        <v>-26.7</v>
      </c>
    </row>
    <row r="12">
      <c r="A12" s="3" t="inlineStr">
        <is>
          <t>February 2025</t>
        </is>
      </c>
    </row>
    <row r="14">
      <c r="A14" s="4" t="inlineStr">
        <is>
          <t>Category</t>
        </is>
      </c>
      <c r="B14" s="4" t="inlineStr">
        <is>
          <t>Subcategory</t>
        </is>
      </c>
      <c r="C14" s="4" t="inlineStr">
        <is>
          <t>Credit in CHF</t>
        </is>
      </c>
      <c r="D14" s="4" t="inlineStr">
        <is>
          <t>Debit in CHF</t>
        </is>
      </c>
      <c r="E14" s="4" t="inlineStr">
        <is>
          <t>Net in CHF</t>
        </is>
      </c>
    </row>
    <row r="15">
      <c r="A15" t="inlineStr">
        <is>
          <t>Freizeit</t>
        </is>
      </c>
      <c r="B15" t="inlineStr">
        <is>
          <t>Gastronomie</t>
        </is>
      </c>
      <c r="C15" s="5" t="n">
        <v>0</v>
      </c>
      <c r="D15" s="5" t="n">
        <v>3</v>
      </c>
      <c r="E15" s="5" t="n">
        <v>-3</v>
      </c>
    </row>
    <row r="18">
      <c r="A18" s="3" t="inlineStr">
        <is>
          <t>March 2025</t>
        </is>
      </c>
    </row>
    <row r="20">
      <c r="A20" s="4" t="inlineStr">
        <is>
          <t>Category</t>
        </is>
      </c>
      <c r="B20" s="4" t="inlineStr">
        <is>
          <t>Subcategory</t>
        </is>
      </c>
      <c r="C20" s="4" t="inlineStr">
        <is>
          <t>Credit in CHF</t>
        </is>
      </c>
      <c r="D20" s="4" t="inlineStr">
        <is>
          <t>Debit in CHF</t>
        </is>
      </c>
      <c r="E20" s="4" t="inlineStr">
        <is>
          <t>Net in CHF</t>
        </is>
      </c>
    </row>
    <row r="21">
      <c r="A21" t="inlineStr">
        <is>
          <t>Einkaufen</t>
        </is>
      </c>
      <c r="B21" t="inlineStr">
        <is>
          <t>Supermärkte</t>
        </is>
      </c>
      <c r="C21" s="5" t="n">
        <v>0</v>
      </c>
      <c r="D21" s="5" t="n">
        <v>189.75</v>
      </c>
      <c r="E21" s="5" t="n">
        <v>-189.75</v>
      </c>
    </row>
    <row r="22">
      <c r="A22" t="inlineStr">
        <is>
          <t>Einkaufen</t>
        </is>
      </c>
      <c r="B22" t="inlineStr">
        <is>
          <t>Detail-Lebensmittel</t>
        </is>
      </c>
      <c r="C22" s="5" t="n">
        <v>0</v>
      </c>
      <c r="D22" s="5" t="n">
        <v>167.29</v>
      </c>
      <c r="E22" s="5" t="n">
        <v>-167.29</v>
      </c>
    </row>
    <row r="23">
      <c r="A23" t="inlineStr">
        <is>
          <t>Einkaufen</t>
        </is>
      </c>
      <c r="B23" t="inlineStr">
        <is>
          <t>Sonstiges Einkaufen</t>
        </is>
      </c>
      <c r="C23" s="5" t="n">
        <v>0</v>
      </c>
      <c r="D23" s="5" t="n">
        <v>14.65</v>
      </c>
      <c r="E23" s="5" t="n">
        <v>-14.65</v>
      </c>
    </row>
    <row r="24">
      <c r="A24" t="inlineStr">
        <is>
          <t>Einkommen</t>
        </is>
      </c>
      <c r="B24" t="inlineStr">
        <is>
          <t>Lohn</t>
        </is>
      </c>
      <c r="C24" s="5" t="n">
        <v>6966.35</v>
      </c>
      <c r="D24" s="5" t="n">
        <v>0</v>
      </c>
      <c r="E24" s="5" t="n">
        <v>6966.35</v>
      </c>
    </row>
    <row r="25">
      <c r="A25" t="inlineStr">
        <is>
          <t>Finanzen</t>
        </is>
      </c>
      <c r="B25" t="inlineStr">
        <is>
          <t>Bargeldbezug</t>
        </is>
      </c>
      <c r="C25" s="5" t="n">
        <v>0</v>
      </c>
      <c r="D25" s="5" t="n">
        <v>80</v>
      </c>
      <c r="E25" s="5" t="n">
        <v>-80</v>
      </c>
    </row>
    <row r="26">
      <c r="A26" t="inlineStr">
        <is>
          <t>Finanzen</t>
        </is>
      </c>
      <c r="B26" t="inlineStr">
        <is>
          <t>Fees</t>
        </is>
      </c>
      <c r="C26" s="5" t="n">
        <v>0</v>
      </c>
      <c r="D26" s="5" t="n">
        <v>5</v>
      </c>
      <c r="E26" s="5" t="n">
        <v>-5</v>
      </c>
    </row>
    <row r="27">
      <c r="A27" t="inlineStr">
        <is>
          <t>Freizeit</t>
        </is>
      </c>
      <c r="B27" t="inlineStr">
        <is>
          <t>Gastronomie</t>
        </is>
      </c>
      <c r="C27" s="5" t="n">
        <v>0</v>
      </c>
      <c r="D27" s="5" t="n">
        <v>150.5</v>
      </c>
      <c r="E27" s="5" t="n">
        <v>-150.5</v>
      </c>
    </row>
    <row r="28">
      <c r="A28" t="inlineStr">
        <is>
          <t>Leben</t>
        </is>
      </c>
      <c r="B28" t="inlineStr">
        <is>
          <t>Gesundheit</t>
        </is>
      </c>
      <c r="C28" s="5" t="n">
        <v>1787.95</v>
      </c>
      <c r="D28" s="5" t="n">
        <v>101.85</v>
      </c>
      <c r="E28" s="5" t="n">
        <v>1686.1</v>
      </c>
    </row>
    <row r="29">
      <c r="A29" t="inlineStr">
        <is>
          <t>Leben</t>
        </is>
      </c>
      <c r="B29" t="inlineStr">
        <is>
          <t>Familie</t>
        </is>
      </c>
      <c r="C29" s="5" t="n">
        <v>0</v>
      </c>
      <c r="D29" s="5" t="n">
        <v>200</v>
      </c>
      <c r="E29" s="5" t="n">
        <v>-200</v>
      </c>
    </row>
    <row r="30">
      <c r="A30" t="inlineStr">
        <is>
          <t>Leben</t>
        </is>
      </c>
      <c r="B30" t="inlineStr">
        <is>
          <t>Styling und Wellness</t>
        </is>
      </c>
      <c r="C30" s="5" t="n">
        <v>0</v>
      </c>
      <c r="D30" s="5" t="n">
        <v>79.90000000000001</v>
      </c>
      <c r="E30" s="5" t="n">
        <v>-79.90000000000001</v>
      </c>
    </row>
    <row r="31">
      <c r="A31" t="inlineStr">
        <is>
          <t>Leben</t>
        </is>
      </c>
      <c r="B31" t="inlineStr">
        <is>
          <t>Sonstiges Leben</t>
        </is>
      </c>
      <c r="C31" s="5" t="n">
        <v>0</v>
      </c>
      <c r="D31" s="5" t="n">
        <v>51.8</v>
      </c>
      <c r="E31" s="5" t="n">
        <v>-51.8</v>
      </c>
    </row>
    <row r="32">
      <c r="A32" t="inlineStr">
        <is>
          <t>Mobilität</t>
        </is>
      </c>
      <c r="B32" t="inlineStr">
        <is>
          <t>Öffentlicher Verkehr</t>
        </is>
      </c>
      <c r="C32" s="5" t="n">
        <v>0</v>
      </c>
      <c r="D32" s="5" t="n">
        <v>96.90000000000001</v>
      </c>
      <c r="E32" s="5" t="n">
        <v>-96.90000000000001</v>
      </c>
    </row>
    <row r="33">
      <c r="A33" t="inlineStr">
        <is>
          <t>Wohnen</t>
        </is>
      </c>
      <c r="B33" t="inlineStr">
        <is>
          <t>Miete und Hypothek</t>
        </is>
      </c>
      <c r="C33" s="5" t="n">
        <v>0</v>
      </c>
      <c r="D33" s="5" t="n">
        <v>1774</v>
      </c>
      <c r="E33" s="5" t="n">
        <v>-1774</v>
      </c>
    </row>
    <row r="34">
      <c r="A34" t="inlineStr">
        <is>
          <t>Wohnen</t>
        </is>
      </c>
      <c r="B34" t="inlineStr">
        <is>
          <t>Kommunikation</t>
        </is>
      </c>
      <c r="C34" s="5" t="n">
        <v>0</v>
      </c>
      <c r="D34" s="5" t="n">
        <v>70.27</v>
      </c>
      <c r="E34" s="5" t="n">
        <v>-70.27</v>
      </c>
    </row>
    <row r="35">
      <c r="A35" t="inlineStr">
        <is>
          <t>Wohnen</t>
        </is>
      </c>
      <c r="B35" t="inlineStr">
        <is>
          <t>Haushalt</t>
        </is>
      </c>
      <c r="C35" s="5" t="n">
        <v>0</v>
      </c>
      <c r="D35" s="5" t="n">
        <v>23.95</v>
      </c>
      <c r="E35" s="5" t="n">
        <v>-23.95</v>
      </c>
    </row>
    <row r="36">
      <c r="A36" t="inlineStr">
        <is>
          <t>Wohnen</t>
        </is>
      </c>
      <c r="B36" t="inlineStr">
        <is>
          <t>Handwerk und Garten</t>
        </is>
      </c>
      <c r="C36" s="5" t="n">
        <v>0</v>
      </c>
      <c r="D36" s="5" t="n">
        <v>10.9</v>
      </c>
      <c r="E36" s="5" t="n">
        <v>-10.9</v>
      </c>
    </row>
    <row r="39">
      <c r="A39" s="3" t="inlineStr">
        <is>
          <t>April 2025</t>
        </is>
      </c>
    </row>
    <row r="41">
      <c r="A41" s="4" t="inlineStr">
        <is>
          <t>Category</t>
        </is>
      </c>
      <c r="B41" s="4" t="inlineStr">
        <is>
          <t>Subcategory</t>
        </is>
      </c>
      <c r="C41" s="4" t="inlineStr">
        <is>
          <t>Credit in CHF</t>
        </is>
      </c>
      <c r="D41" s="4" t="inlineStr">
        <is>
          <t>Debit in CHF</t>
        </is>
      </c>
      <c r="E41" s="4" t="inlineStr">
        <is>
          <t>Net in CHF</t>
        </is>
      </c>
    </row>
    <row r="42">
      <c r="A42" t="inlineStr">
        <is>
          <t>Beispiel</t>
        </is>
      </c>
      <c r="B42" t="inlineStr">
        <is>
          <t>Counterparty</t>
        </is>
      </c>
      <c r="C42" s="5" t="n">
        <v>4200</v>
      </c>
      <c r="D42" s="5" t="n">
        <v>0</v>
      </c>
      <c r="E42" s="5" t="n">
        <v>4200</v>
      </c>
    </row>
    <row r="43">
      <c r="A43" t="inlineStr">
        <is>
          <t>Beispiel</t>
        </is>
      </c>
      <c r="B43" t="inlineStr">
        <is>
          <t>Counterparty IBAN</t>
        </is>
      </c>
      <c r="C43" s="5" t="n">
        <v>0</v>
      </c>
      <c r="D43" s="5" t="n">
        <v>25</v>
      </c>
      <c r="E43" s="5" t="n">
        <v>-25</v>
      </c>
    </row>
    <row r="44">
      <c r="A44" t="inlineStr">
        <is>
          <t>Freizeit</t>
        </is>
      </c>
      <c r="B44" t="inlineStr">
        <is>
          <t>Reisen und Erleben</t>
        </is>
      </c>
      <c r="C44" s="5" t="n">
        <v>100</v>
      </c>
      <c r="D44" s="5" t="n">
        <v>0</v>
      </c>
      <c r="E4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2026-04-25T10:40:32Z</dcterms:created>
  <dcterms:modified xsi:type="dcterms:W3CDTF">2026-04-25T10:40:32Z</dcterms:modified>
</cp:coreProperties>
</file>