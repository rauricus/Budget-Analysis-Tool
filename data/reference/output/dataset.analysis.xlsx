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s by category" sheetId="1" state="visible" r:id="rId1"/>
    <sheet name="Category Analysis" sheetId="2" state="visible" r:id="rId2"/>
    <sheet name="Subcategory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category'!B13</f>
            </strRef>
          </tx>
          <spPr>
            <a:ln>
              <a:prstDash val="solid"/>
            </a:ln>
          </spPr>
          <cat>
            <numRef>
              <f>'Overviews by category'!$A$14</f>
            </numRef>
          </cat>
          <val>
            <numRef>
              <f>'Overviews by category'!$B$14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category'!B35</f>
            </strRef>
          </tx>
          <spPr>
            <a:ln>
              <a:prstDash val="solid"/>
            </a:ln>
          </spPr>
          <cat>
            <numRef>
              <f>'Overviews by category'!$A$36:$A$41</f>
            </numRef>
          </cat>
          <val>
            <numRef>
              <f>'Overviews by category'!$B$36:$B$41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Refunds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'Overviews by category'!B57</f>
            </strRef>
          </tx>
          <spPr>
            <a:ln>
              <a:prstDash val="solid"/>
            </a:ln>
          </spPr>
          <cat>
            <numRef>
              <f>'Overviews by category'!$A$58</f>
            </numRef>
          </cat>
          <val>
            <numRef>
              <f>'Overviews by category'!$B$58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34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56</row>
      <rowOff>0</rowOff>
    </from>
    <ext cx="50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(2 categorized file(s))</t>
        </is>
      </c>
    </row>
    <row r="4">
      <c r="A4" s="3" t="inlineStr">
        <is>
          <t>Overall Summary</t>
        </is>
      </c>
    </row>
    <row r="6">
      <c r="A6" t="inlineStr">
        <is>
          <t>Total Income:</t>
        </is>
      </c>
      <c r="B6" s="4" t="n">
        <v>8755.300000000001</v>
      </c>
    </row>
    <row r="7">
      <c r="A7" t="inlineStr">
        <is>
          <t>Total Expenses:</t>
        </is>
      </c>
      <c r="B7" s="4" t="n">
        <v>3043.06</v>
      </c>
    </row>
    <row r="8">
      <c r="A8" t="inlineStr">
        <is>
          <t>Net (Income - Expenses):</t>
        </is>
      </c>
      <c r="B8" s="5" t="n">
        <v>5712.240000000001</v>
      </c>
    </row>
    <row r="11">
      <c r="A11" s="6" t="inlineStr">
        <is>
          <t>Income by Category</t>
        </is>
      </c>
    </row>
    <row r="13">
      <c r="A13" s="7" t="inlineStr">
        <is>
          <t>Category</t>
        </is>
      </c>
      <c r="B13" s="7" t="inlineStr">
        <is>
          <t>Amount (CHF)</t>
        </is>
      </c>
    </row>
    <row r="14">
      <c r="A14" t="inlineStr">
        <is>
          <t>Einkommen</t>
        </is>
      </c>
      <c r="B14" s="4" t="n">
        <v>6966.35</v>
      </c>
    </row>
    <row r="33">
      <c r="A33" s="6" t="inlineStr">
        <is>
          <t>Expenses by Category</t>
        </is>
      </c>
    </row>
    <row r="35">
      <c r="A35" s="7" t="inlineStr">
        <is>
          <t>Category</t>
        </is>
      </c>
      <c r="B35" s="7" t="inlineStr">
        <is>
          <t>Amount (CHF)</t>
        </is>
      </c>
    </row>
    <row r="36">
      <c r="A36" t="inlineStr">
        <is>
          <t>Wohnen</t>
        </is>
      </c>
      <c r="B36" s="4" t="n">
        <v>1893.02</v>
      </c>
    </row>
    <row r="37">
      <c r="A37" t="inlineStr">
        <is>
          <t>Leben</t>
        </is>
      </c>
      <c r="B37" s="4" t="n">
        <v>433.55</v>
      </c>
    </row>
    <row r="38">
      <c r="A38" t="inlineStr">
        <is>
          <t>Einkaufen</t>
        </is>
      </c>
      <c r="B38" s="4" t="n">
        <v>371.69</v>
      </c>
    </row>
    <row r="39">
      <c r="A39" t="inlineStr">
        <is>
          <t>Freizeit</t>
        </is>
      </c>
      <c r="B39" s="4" t="n">
        <v>150.5</v>
      </c>
    </row>
    <row r="40">
      <c r="A40" t="inlineStr">
        <is>
          <t>Mobilität</t>
        </is>
      </c>
      <c r="B40" s="4" t="n">
        <v>96.90000000000001</v>
      </c>
    </row>
    <row r="41">
      <c r="A41" t="inlineStr">
        <is>
          <t>Finanzen</t>
        </is>
      </c>
      <c r="B41" s="4" t="n">
        <v>85</v>
      </c>
    </row>
    <row r="55">
      <c r="A55" s="6" t="inlineStr">
        <is>
          <t>Refunds by Category</t>
        </is>
      </c>
    </row>
    <row r="57">
      <c r="A57" s="7" t="inlineStr">
        <is>
          <t>Category</t>
        </is>
      </c>
      <c r="B57" s="7" t="inlineStr">
        <is>
          <t>Amount (CHF)</t>
        </is>
      </c>
    </row>
    <row r="58">
      <c r="A58" t="inlineStr">
        <is>
          <t>Rückerstattungen</t>
        </is>
      </c>
      <c r="B58" s="4" t="n">
        <v>1788.95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6" t="inlineStr">
        <is>
          <t>January 2025</t>
        </is>
      </c>
    </row>
    <row r="5">
      <c r="A5" s="8" t="inlineStr">
        <is>
          <t>Category</t>
        </is>
      </c>
      <c r="B5" s="8" t="inlineStr">
        <is>
          <t>Credit in CHF</t>
        </is>
      </c>
      <c r="C5" s="8" t="inlineStr">
        <is>
          <t>Debit in CHF</t>
        </is>
      </c>
      <c r="D5" s="8" t="inlineStr">
        <is>
          <t>Net in CHF</t>
        </is>
      </c>
    </row>
    <row r="6">
      <c r="A6" t="inlineStr">
        <is>
          <t>Wohnen</t>
        </is>
      </c>
      <c r="B6" s="4" t="n">
        <v>0</v>
      </c>
      <c r="C6" s="4" t="n">
        <v>13.9</v>
      </c>
      <c r="D6" s="4" t="n">
        <v>-13.9</v>
      </c>
    </row>
    <row r="7">
      <c r="A7" t="inlineStr">
        <is>
          <t>Rückerstattungen</t>
        </is>
      </c>
      <c r="B7" s="4" t="n">
        <v>1</v>
      </c>
      <c r="C7" s="4" t="n">
        <v>0</v>
      </c>
      <c r="D7" s="4" t="n">
        <v>1</v>
      </c>
    </row>
    <row r="10">
      <c r="A10" s="6" t="inlineStr">
        <is>
          <t>March 2025</t>
        </is>
      </c>
    </row>
    <row r="12">
      <c r="A12" s="8" t="inlineStr">
        <is>
          <t>Category</t>
        </is>
      </c>
      <c r="B12" s="8" t="inlineStr">
        <is>
          <t>Credit in CHF</t>
        </is>
      </c>
      <c r="C12" s="8" t="inlineStr">
        <is>
          <t>Debit in CHF</t>
        </is>
      </c>
      <c r="D12" s="8" t="inlineStr">
        <is>
          <t>Net in CHF</t>
        </is>
      </c>
    </row>
    <row r="13">
      <c r="A13" t="inlineStr">
        <is>
          <t>Einkommen</t>
        </is>
      </c>
      <c r="B13" s="4" t="n">
        <v>6966.35</v>
      </c>
      <c r="C13" s="4" t="n">
        <v>0</v>
      </c>
      <c r="D13" s="4" t="n">
        <v>6966.35</v>
      </c>
    </row>
    <row r="14">
      <c r="A14" t="inlineStr">
        <is>
          <t>Wohnen</t>
        </is>
      </c>
      <c r="B14" s="4" t="n">
        <v>0</v>
      </c>
      <c r="C14" s="4" t="n">
        <v>1879.12</v>
      </c>
      <c r="D14" s="4" t="n">
        <v>-1879.12</v>
      </c>
    </row>
    <row r="15">
      <c r="A15" t="inlineStr">
        <is>
          <t>Rückerstattungen</t>
        </is>
      </c>
      <c r="B15" s="4" t="n">
        <v>1787.95</v>
      </c>
      <c r="C15" s="4" t="n">
        <v>0</v>
      </c>
      <c r="D15" s="4" t="n">
        <v>1787.95</v>
      </c>
    </row>
    <row r="16">
      <c r="A16" t="inlineStr">
        <is>
          <t>Leben</t>
        </is>
      </c>
      <c r="B16" s="4" t="n">
        <v>0</v>
      </c>
      <c r="C16" s="4" t="n">
        <v>433.55</v>
      </c>
      <c r="D16" s="4" t="n">
        <v>-433.55</v>
      </c>
    </row>
    <row r="17">
      <c r="A17" t="inlineStr">
        <is>
          <t>Einkaufen</t>
        </is>
      </c>
      <c r="B17" s="4" t="n">
        <v>0</v>
      </c>
      <c r="C17" s="4" t="n">
        <v>371.69</v>
      </c>
      <c r="D17" s="4" t="n">
        <v>-371.69</v>
      </c>
    </row>
    <row r="18">
      <c r="A18" t="inlineStr">
        <is>
          <t>Freizeit</t>
        </is>
      </c>
      <c r="B18" s="4" t="n">
        <v>0</v>
      </c>
      <c r="C18" s="4" t="n">
        <v>150.5</v>
      </c>
      <c r="D18" s="4" t="n">
        <v>-150.5</v>
      </c>
    </row>
    <row r="19">
      <c r="A19" t="inlineStr">
        <is>
          <t>Mobilität</t>
        </is>
      </c>
      <c r="B19" s="4" t="n">
        <v>0</v>
      </c>
      <c r="C19" s="4" t="n">
        <v>96.90000000000001</v>
      </c>
      <c r="D19" s="4" t="n">
        <v>-96.90000000000001</v>
      </c>
    </row>
    <row r="20">
      <c r="A20" t="inlineStr">
        <is>
          <t>Finanzen</t>
        </is>
      </c>
      <c r="B20" s="4" t="n">
        <v>0</v>
      </c>
      <c r="C20" s="4" t="n">
        <v>85</v>
      </c>
      <c r="D20" s="4" t="n">
        <v>-85</v>
      </c>
    </row>
    <row r="21">
      <c r="A21" t="inlineStr">
        <is>
          <t>Uncategorized</t>
        </is>
      </c>
      <c r="B21" s="4" t="n">
        <v>0</v>
      </c>
      <c r="C21" s="4" t="n">
        <v>12.4</v>
      </c>
      <c r="D21" s="4" t="n">
        <v>-12.4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6" t="inlineStr">
        <is>
          <t>January 2025</t>
        </is>
      </c>
    </row>
    <row r="5">
      <c r="A5" s="8" t="inlineStr">
        <is>
          <t>Category</t>
        </is>
      </c>
      <c r="B5" s="8" t="inlineStr">
        <is>
          <t>Subcategory</t>
        </is>
      </c>
      <c r="C5" s="8" t="inlineStr">
        <is>
          <t>Credit in CHF</t>
        </is>
      </c>
      <c r="D5" s="8" t="inlineStr">
        <is>
          <t>Debit in CHF</t>
        </is>
      </c>
      <c r="E5" s="8" t="inlineStr">
        <is>
          <t>Net in CHF</t>
        </is>
      </c>
    </row>
    <row r="6">
      <c r="A6" t="inlineStr">
        <is>
          <t>Wohnen</t>
        </is>
      </c>
      <c r="B6" t="inlineStr">
        <is>
          <t>Haushalt</t>
        </is>
      </c>
      <c r="C6" s="4" t="n">
        <v>0</v>
      </c>
      <c r="D6" s="4" t="n">
        <v>13.9</v>
      </c>
      <c r="E6" s="4" t="n">
        <v>-13.9</v>
      </c>
    </row>
    <row r="9">
      <c r="A9" s="6" t="inlineStr">
        <is>
          <t>March 2025</t>
        </is>
      </c>
    </row>
    <row r="11">
      <c r="A11" s="8" t="inlineStr">
        <is>
          <t>Category</t>
        </is>
      </c>
      <c r="B11" s="8" t="inlineStr">
        <is>
          <t>Subcategory</t>
        </is>
      </c>
      <c r="C11" s="8" t="inlineStr">
        <is>
          <t>Credit in CHF</t>
        </is>
      </c>
      <c r="D11" s="8" t="inlineStr">
        <is>
          <t>Debit in CHF</t>
        </is>
      </c>
      <c r="E11" s="8" t="inlineStr">
        <is>
          <t>Net in CHF</t>
        </is>
      </c>
    </row>
    <row r="12">
      <c r="A12" t="inlineStr">
        <is>
          <t>Einkaufen</t>
        </is>
      </c>
      <c r="B12" t="inlineStr">
        <is>
          <t>Supermärkte</t>
        </is>
      </c>
      <c r="C12" s="4" t="n">
        <v>0</v>
      </c>
      <c r="D12" s="4" t="n">
        <v>189.75</v>
      </c>
      <c r="E12" s="4" t="n">
        <v>-189.75</v>
      </c>
    </row>
    <row r="13">
      <c r="A13" t="inlineStr">
        <is>
          <t>Einkaufen</t>
        </is>
      </c>
      <c r="B13" t="inlineStr">
        <is>
          <t>Detail-Lebensmittel</t>
        </is>
      </c>
      <c r="C13" s="4" t="n">
        <v>0</v>
      </c>
      <c r="D13" s="4" t="n">
        <v>167.29</v>
      </c>
      <c r="E13" s="4" t="n">
        <v>-167.29</v>
      </c>
    </row>
    <row r="14">
      <c r="A14" t="inlineStr">
        <is>
          <t>Einkaufen</t>
        </is>
      </c>
      <c r="B14" t="inlineStr">
        <is>
          <t>Sonstiges Einkaufen</t>
        </is>
      </c>
      <c r="C14" s="4" t="n">
        <v>0</v>
      </c>
      <c r="D14" s="4" t="n">
        <v>14.65</v>
      </c>
      <c r="E14" s="4" t="n">
        <v>-14.65</v>
      </c>
    </row>
    <row r="15">
      <c r="A15" t="inlineStr">
        <is>
          <t>Einkommen</t>
        </is>
      </c>
      <c r="B15" t="inlineStr">
        <is>
          <t>Lohn</t>
        </is>
      </c>
      <c r="C15" s="4" t="n">
        <v>6966.35</v>
      </c>
      <c r="D15" s="4" t="n">
        <v>0</v>
      </c>
      <c r="E15" s="4" t="n">
        <v>6966.35</v>
      </c>
    </row>
    <row r="16">
      <c r="A16" t="inlineStr">
        <is>
          <t>Finanzen</t>
        </is>
      </c>
      <c r="B16" t="inlineStr">
        <is>
          <t>Bargeldbezug</t>
        </is>
      </c>
      <c r="C16" s="4" t="n">
        <v>0</v>
      </c>
      <c r="D16" s="4" t="n">
        <v>80</v>
      </c>
      <c r="E16" s="4" t="n">
        <v>-80</v>
      </c>
    </row>
    <row r="17">
      <c r="A17" t="inlineStr">
        <is>
          <t>Finanzen</t>
        </is>
      </c>
      <c r="B17" t="inlineStr">
        <is>
          <t>Gebühren</t>
        </is>
      </c>
      <c r="C17" s="4" t="n">
        <v>0</v>
      </c>
      <c r="D17" s="4" t="n">
        <v>5</v>
      </c>
      <c r="E17" s="4" t="n">
        <v>-5</v>
      </c>
    </row>
    <row r="18">
      <c r="A18" t="inlineStr">
        <is>
          <t>Freizeit</t>
        </is>
      </c>
      <c r="B18" t="inlineStr">
        <is>
          <t>Gastronomie</t>
        </is>
      </c>
      <c r="C18" s="4" t="n">
        <v>0</v>
      </c>
      <c r="D18" s="4" t="n">
        <v>150.5</v>
      </c>
      <c r="E18" s="4" t="n">
        <v>-150.5</v>
      </c>
    </row>
    <row r="19">
      <c r="A19" t="inlineStr">
        <is>
          <t>Leben</t>
        </is>
      </c>
      <c r="B19" t="inlineStr">
        <is>
          <t>Familie</t>
        </is>
      </c>
      <c r="C19" s="4" t="n">
        <v>0</v>
      </c>
      <c r="D19" s="4" t="n">
        <v>200</v>
      </c>
      <c r="E19" s="4" t="n">
        <v>-200</v>
      </c>
    </row>
    <row r="20">
      <c r="A20" t="inlineStr">
        <is>
          <t>Leben</t>
        </is>
      </c>
      <c r="B20" t="inlineStr">
        <is>
          <t>Gesundheit</t>
        </is>
      </c>
      <c r="C20" s="4" t="n">
        <v>0</v>
      </c>
      <c r="D20" s="4" t="n">
        <v>101.85</v>
      </c>
      <c r="E20" s="4" t="n">
        <v>-101.85</v>
      </c>
    </row>
    <row r="21">
      <c r="A21" t="inlineStr">
        <is>
          <t>Leben</t>
        </is>
      </c>
      <c r="B21" t="inlineStr">
        <is>
          <t>Styling und Wellness</t>
        </is>
      </c>
      <c r="C21" s="4" t="n">
        <v>0</v>
      </c>
      <c r="D21" s="4" t="n">
        <v>79.90000000000001</v>
      </c>
      <c r="E21" s="4" t="n">
        <v>-79.90000000000001</v>
      </c>
    </row>
    <row r="22">
      <c r="A22" t="inlineStr">
        <is>
          <t>Leben</t>
        </is>
      </c>
      <c r="B22" t="inlineStr">
        <is>
          <t>Sonstiges Leben</t>
        </is>
      </c>
      <c r="C22" s="4" t="n">
        <v>0</v>
      </c>
      <c r="D22" s="4" t="n">
        <v>51.8</v>
      </c>
      <c r="E22" s="4" t="n">
        <v>-51.8</v>
      </c>
    </row>
    <row r="23">
      <c r="A23" t="inlineStr">
        <is>
          <t>Mobilität</t>
        </is>
      </c>
      <c r="B23" t="inlineStr">
        <is>
          <t>Öffentlicher Verkehr</t>
        </is>
      </c>
      <c r="C23" s="4" t="n">
        <v>0</v>
      </c>
      <c r="D23" s="4" t="n">
        <v>96.90000000000001</v>
      </c>
      <c r="E23" s="4" t="n">
        <v>-96.90000000000001</v>
      </c>
    </row>
    <row r="24">
      <c r="A24" t="inlineStr">
        <is>
          <t>Wohnen</t>
        </is>
      </c>
      <c r="B24" t="inlineStr">
        <is>
          <t>Miete und Hypothek</t>
        </is>
      </c>
      <c r="C24" s="4" t="n">
        <v>0</v>
      </c>
      <c r="D24" s="4" t="n">
        <v>1774</v>
      </c>
      <c r="E24" s="4" t="n">
        <v>-1774</v>
      </c>
    </row>
    <row r="25">
      <c r="A25" t="inlineStr">
        <is>
          <t>Wohnen</t>
        </is>
      </c>
      <c r="B25" t="inlineStr">
        <is>
          <t>Kommunikation</t>
        </is>
      </c>
      <c r="C25" s="4" t="n">
        <v>0</v>
      </c>
      <c r="D25" s="4" t="n">
        <v>70.27</v>
      </c>
      <c r="E25" s="4" t="n">
        <v>-70.27</v>
      </c>
    </row>
    <row r="26">
      <c r="A26" t="inlineStr">
        <is>
          <t>Wohnen</t>
        </is>
      </c>
      <c r="B26" t="inlineStr">
        <is>
          <t>Haushalt</t>
        </is>
      </c>
      <c r="C26" s="4" t="n">
        <v>0</v>
      </c>
      <c r="D26" s="4" t="n">
        <v>23.95</v>
      </c>
      <c r="E26" s="4" t="n">
        <v>-23.95</v>
      </c>
    </row>
    <row r="27">
      <c r="A27" t="inlineStr">
        <is>
          <t>Wohnen</t>
        </is>
      </c>
      <c r="B27" t="inlineStr">
        <is>
          <t>Handwerk und Garten</t>
        </is>
      </c>
      <c r="C27" s="4" t="n">
        <v>0</v>
      </c>
      <c r="D27" s="4" t="n">
        <v>10.9</v>
      </c>
      <c r="E27" s="4" t="n">
        <v>-10.9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2026-04-19T15:56:00Z</dcterms:created>
  <dcterms:modified xsi:type="dcterms:W3CDTF">2026-04-19T15:56:00Z</dcterms:modified>
</cp:coreProperties>
</file>